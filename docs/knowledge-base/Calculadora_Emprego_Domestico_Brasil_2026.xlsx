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s 2026" sheetId="1" state="visible" r:id="rId1"/>
    <sheet xmlns:r="http://schemas.openxmlformats.org/officeDocument/2006/relationships" name="Calculadora Mensual" sheetId="2" state="visible" r:id="rId2"/>
    <sheet xmlns:r="http://schemas.openxmlformats.org/officeDocument/2006/relationships" name="Simulador Anual" sheetId="3" state="visible" r:id="rId3"/>
    <sheet xmlns:r="http://schemas.openxmlformats.org/officeDocument/2006/relationships" name="13° Salário" sheetId="4" state="visible" r:id="rId4"/>
    <sheet xmlns:r="http://schemas.openxmlformats.org/officeDocument/2006/relationships" name="Férias" sheetId="5" state="visible" r:id="rId5"/>
    <sheet xmlns:r="http://schemas.openxmlformats.org/officeDocument/2006/relationships" name="Rescisã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0.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666666"/>
      <sz val="9"/>
    </font>
    <font>
      <name val="Arial"/>
      <b val="1"/>
      <color rgb="001B2A4A"/>
      <sz val="11"/>
    </font>
    <font>
      <name val="Arial"/>
      <color rgb="00333333"/>
      <sz val="10"/>
    </font>
    <font>
      <name val="Arial"/>
      <b val="1"/>
      <color rgb="000000FF"/>
      <sz val="10"/>
    </font>
    <font>
      <name val="Arial"/>
      <b val="1"/>
      <color rgb="0027AE60"/>
      <sz val="12"/>
    </font>
    <font>
      <name val="Arial"/>
      <b val="1"/>
      <color rgb="00C0392B"/>
      <sz val="12"/>
    </font>
    <font>
      <name val="Arial"/>
      <b val="1"/>
      <color rgb="0027AE60"/>
      <sz val="14"/>
    </font>
    <font>
      <name val="Arial"/>
      <b val="1"/>
      <color rgb="00C0392B"/>
      <sz val="14"/>
    </font>
    <font>
      <name val="Arial"/>
      <b val="1"/>
      <color rgb="002E5090"/>
      <sz val="14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09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DE7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  <border>
      <left/>
      <right/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0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64" fontId="8" fillId="7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3" fontId="8" fillId="7" borderId="1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 wrapText="1"/>
    </xf>
    <xf numFmtId="10" fontId="8" fillId="7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/>
    </xf>
    <xf numFmtId="164" fontId="10" fillId="6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6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pivotButton="0" quotePrefix="0" xfId="0"/>
    <xf numFmtId="0" fontId="7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1:J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6" customWidth="1" min="4" max="4"/>
    <col width="18" customWidth="1" min="5" max="5"/>
    <col width="4" customWidth="1" min="6" max="6"/>
    <col width="28" customWidth="1" min="7" max="7"/>
    <col width="22" customWidth="1" min="8" max="8"/>
    <col width="18" customWidth="1" min="9" max="9"/>
    <col width="18" customWidth="1" min="10" max="10"/>
  </cols>
  <sheetData>
    <row r="1">
      <c r="B1" s="1" t="inlineStr">
        <is>
          <t>TABELAS DE REFERÊNCIA — EMPREGO DOMÉSTICO BRASIL 2026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3">
      <c r="B3" s="2" t="inlineStr">
        <is>
          <t>TABELA INSS 2026 — Contribuição do Empregado (Progressiva)</t>
        </is>
      </c>
      <c r="C3" s="2" t="n"/>
      <c r="D3" s="2" t="n"/>
      <c r="E3" s="2" t="n"/>
      <c r="G3" s="2" t="inlineStr">
        <is>
          <t>ENCARGOS DO EMPREGADOR (sobre salário bruto)</t>
        </is>
      </c>
      <c r="H3" s="2" t="n"/>
      <c r="I3" s="2" t="n"/>
      <c r="J3" s="2" t="n"/>
    </row>
    <row r="4">
      <c r="B4" s="3" t="inlineStr">
        <is>
          <t>Faixa Salarial (R$)</t>
        </is>
      </c>
      <c r="C4" s="3" t="inlineStr">
        <is>
          <t>Até (R$)</t>
        </is>
      </c>
      <c r="D4" s="3" t="inlineStr">
        <is>
          <t>Alíquota</t>
        </is>
      </c>
      <c r="E4" s="3" t="inlineStr">
        <is>
          <t>Dedução (R$)</t>
        </is>
      </c>
      <c r="G4" s="3" t="inlineStr">
        <is>
          <t>Componente</t>
        </is>
      </c>
      <c r="H4" s="3" t="inlineStr">
        <is>
          <t>Alíquota</t>
        </is>
      </c>
      <c r="I4" s="3" t="inlineStr">
        <is>
          <t>Base Legal</t>
        </is>
      </c>
      <c r="J4" s="3" t="inlineStr">
        <is>
          <t>Quem paga</t>
        </is>
      </c>
    </row>
    <row r="5">
      <c r="B5" s="4" t="n">
        <v>0</v>
      </c>
      <c r="C5" s="4" t="n">
        <v>1621</v>
      </c>
      <c r="D5" s="5" t="n">
        <v>0.075</v>
      </c>
      <c r="E5" s="4" t="n">
        <v>0</v>
      </c>
      <c r="G5" s="6" t="inlineStr">
        <is>
          <t>INSS Patronal</t>
        </is>
      </c>
      <c r="H5" s="5" t="n">
        <v>0.08</v>
      </c>
      <c r="I5" s="7" t="inlineStr">
        <is>
          <t>LC 150/2015</t>
        </is>
      </c>
      <c r="J5" s="7" t="inlineStr">
        <is>
          <t>Empregador</t>
        </is>
      </c>
    </row>
    <row r="6">
      <c r="B6" s="8" t="n">
        <v>1621.01</v>
      </c>
      <c r="C6" s="8" t="n">
        <v>2902.84</v>
      </c>
      <c r="D6" s="9" t="n">
        <v>0.09</v>
      </c>
      <c r="E6" s="8" t="n">
        <v>24.32</v>
      </c>
      <c r="G6" s="10" t="inlineStr">
        <is>
          <t>FGTS</t>
        </is>
      </c>
      <c r="H6" s="9" t="n">
        <v>0.08</v>
      </c>
      <c r="I6" s="11" t="inlineStr">
        <is>
          <t>Lei 8.036/90</t>
        </is>
      </c>
      <c r="J6" s="11" t="inlineStr">
        <is>
          <t>Empregador</t>
        </is>
      </c>
    </row>
    <row r="7">
      <c r="B7" s="4" t="n">
        <v>2902.85</v>
      </c>
      <c r="C7" s="4" t="n">
        <v>4354.27</v>
      </c>
      <c r="D7" s="5" t="n">
        <v>0.12</v>
      </c>
      <c r="E7" s="4" t="n">
        <v>111.4</v>
      </c>
      <c r="G7" s="6" t="inlineStr">
        <is>
          <t>FGTS Compensatório</t>
        </is>
      </c>
      <c r="H7" s="5" t="n">
        <v>0.032</v>
      </c>
      <c r="I7" s="7" t="inlineStr">
        <is>
          <t>LC 150/2015</t>
        </is>
      </c>
      <c r="J7" s="7" t="inlineStr">
        <is>
          <t>Empregador</t>
        </is>
      </c>
    </row>
    <row r="8">
      <c r="B8" s="8" t="n">
        <v>4354.28</v>
      </c>
      <c r="C8" s="8" t="n">
        <v>8475.549999999999</v>
      </c>
      <c r="D8" s="9" t="n">
        <v>0.14</v>
      </c>
      <c r="E8" s="8" t="n">
        <v>198.49</v>
      </c>
      <c r="G8" s="10" t="inlineStr">
        <is>
          <t>Seguro Acidente (SAT)</t>
        </is>
      </c>
      <c r="H8" s="9" t="n">
        <v>0.008</v>
      </c>
      <c r="I8" s="11" t="inlineStr">
        <is>
          <t>LC 150/2015</t>
        </is>
      </c>
      <c r="J8" s="11" t="inlineStr">
        <is>
          <t>Empregador</t>
        </is>
      </c>
    </row>
    <row r="9">
      <c r="G9" s="12" t="inlineStr">
        <is>
          <t>TOTAL Encargos</t>
        </is>
      </c>
      <c r="H9" s="13" t="n">
        <v>0.2</v>
      </c>
      <c r="I9" s="14" t="inlineStr">
        <is>
          <t>—</t>
        </is>
      </c>
      <c r="J9" s="14" t="inlineStr">
        <is>
          <t>Empregador</t>
        </is>
      </c>
    </row>
    <row r="10">
      <c r="B10" s="2" t="inlineStr">
        <is>
          <t>TABELA IRRF 2026 — Imposto de Renda Retido na Fonte</t>
        </is>
      </c>
      <c r="C10" s="2" t="n"/>
      <c r="D10" s="2" t="n"/>
      <c r="E10" s="2" t="n"/>
    </row>
    <row r="11">
      <c r="B11" s="3" t="inlineStr">
        <is>
          <t>Base de Cálculo (R$)</t>
        </is>
      </c>
      <c r="C11" s="3" t="inlineStr">
        <is>
          <t>Até (R$)</t>
        </is>
      </c>
      <c r="D11" s="3" t="inlineStr">
        <is>
          <t>Alíquota</t>
        </is>
      </c>
      <c r="E11" s="3" t="inlineStr">
        <is>
          <t>Dedução (R$)</t>
        </is>
      </c>
      <c r="G11" s="2" t="inlineStr">
        <is>
          <t>SALÁRIO-FAMÍLIA 2026</t>
        </is>
      </c>
      <c r="H11" s="2" t="n"/>
      <c r="I11" s="2" t="n"/>
      <c r="J11" s="2" t="n"/>
    </row>
    <row r="12">
      <c r="B12" s="4" t="n">
        <v>0</v>
      </c>
      <c r="C12" s="4" t="n">
        <v>2428.8</v>
      </c>
      <c r="D12" s="5" t="n">
        <v>0</v>
      </c>
      <c r="E12" s="4" t="n">
        <v>0</v>
      </c>
      <c r="G12" s="15" t="inlineStr">
        <is>
          <t>Valor por dependente:</t>
        </is>
      </c>
      <c r="H12" s="16" t="n">
        <v>67.54000000000001</v>
      </c>
      <c r="I12" s="15" t="inlineStr">
        <is>
          <t>Teto salarial:</t>
        </is>
      </c>
      <c r="J12" s="16" t="n">
        <v>1980.38</v>
      </c>
    </row>
    <row r="13">
      <c r="B13" s="8" t="n">
        <v>2428.81</v>
      </c>
      <c r="C13" s="8" t="n">
        <v>2826.65</v>
      </c>
      <c r="D13" s="9" t="n">
        <v>0.075</v>
      </c>
      <c r="E13" s="8" t="n">
        <v>182.16</v>
      </c>
    </row>
    <row r="14">
      <c r="B14" s="4" t="n">
        <v>2826.66</v>
      </c>
      <c r="C14" s="4" t="n">
        <v>3751.05</v>
      </c>
      <c r="D14" s="5" t="n">
        <v>0.15</v>
      </c>
      <c r="E14" s="4" t="n">
        <v>394.16</v>
      </c>
      <c r="G14" s="2" t="inlineStr">
        <is>
          <t>CONSTANTES 2026</t>
        </is>
      </c>
      <c r="H14" s="2" t="n"/>
      <c r="I14" s="2" t="n"/>
      <c r="J14" s="2" t="n"/>
    </row>
    <row r="15">
      <c r="B15" s="8" t="n">
        <v>3751.06</v>
      </c>
      <c r="C15" s="8" t="n">
        <v>4664.68</v>
      </c>
      <c r="D15" s="9" t="n">
        <v>0.225</v>
      </c>
      <c r="E15" s="8" t="n">
        <v>675.49</v>
      </c>
      <c r="G15" s="15" t="inlineStr">
        <is>
          <t>Salário Mínimo Nacional</t>
        </is>
      </c>
      <c r="H15" s="16" t="n">
        <v>1621</v>
      </c>
      <c r="I15" s="17" t="inlineStr">
        <is>
          <t>Decreto 12.797/2025</t>
        </is>
      </c>
      <c r="J15" s="17" t="n"/>
    </row>
    <row r="16">
      <c r="B16" s="4" t="n">
        <v>4664.69</v>
      </c>
      <c r="C16" s="7" t="inlineStr">
        <is>
          <t>Sem limite</t>
        </is>
      </c>
      <c r="D16" s="5" t="n">
        <v>0.275</v>
      </c>
      <c r="E16" s="4" t="n">
        <v>908.73</v>
      </c>
      <c r="G16" s="18" t="inlineStr">
        <is>
          <t>Teto INSS</t>
        </is>
      </c>
      <c r="H16" s="16" t="n">
        <v>8475.549999999999</v>
      </c>
      <c r="I16" s="19" t="inlineStr">
        <is>
          <t>Portaria MPS/MF 13/2026</t>
        </is>
      </c>
      <c r="J16" s="19" t="n"/>
    </row>
    <row r="17">
      <c r="G17" s="15" t="inlineStr">
        <is>
          <t>Horas mensais (jornada integral)</t>
        </is>
      </c>
      <c r="H17" s="20" t="n">
        <v>220</v>
      </c>
      <c r="I17" s="17" t="inlineStr">
        <is>
          <t>CLT / LC 150</t>
        </is>
      </c>
      <c r="J17" s="17" t="n"/>
    </row>
    <row r="18">
      <c r="B18" s="21" t="inlineStr">
        <is>
          <t>Isenção total para salários brutos até R$ 5.000 (Lei 15.270/2025)</t>
        </is>
      </c>
      <c r="C18" s="21" t="n"/>
      <c r="D18" s="21" t="n"/>
      <c r="E18" s="21" t="n"/>
      <c r="G18" s="18" t="inlineStr">
        <is>
          <t>Horas semanais (jornada integral)</t>
        </is>
      </c>
      <c r="H18" s="20" t="n">
        <v>44</v>
      </c>
      <c r="I18" s="19" t="inlineStr">
        <is>
          <t>CLT / LC 150</t>
        </is>
      </c>
      <c r="J18" s="19" t="n"/>
    </row>
    <row r="19">
      <c r="B19" s="21" t="inlineStr">
        <is>
          <t>Redução parcial: R$ 5.000,01 a R$ 7.350 → Redutor = R$978,62 - (0,133145 × renda bruta)</t>
        </is>
      </c>
      <c r="C19" s="21" t="n"/>
      <c r="D19" s="21" t="n"/>
      <c r="E19" s="21" t="n"/>
      <c r="G19" s="15" t="inlineStr">
        <is>
          <t>Desconto simplificado IRRF</t>
        </is>
      </c>
      <c r="H19" s="16" t="n">
        <v>607.2</v>
      </c>
      <c r="I19" s="17" t="inlineStr">
        <is>
          <t>Lei 15.270/2025</t>
        </is>
      </c>
      <c r="J19" s="17" t="n"/>
    </row>
    <row r="20">
      <c r="B20" s="21" t="inlineStr">
        <is>
          <t>Desconto simplificado mensal: R$ 607,20 (25% de R$ 2.428,80)</t>
        </is>
      </c>
      <c r="C20" s="21" t="n"/>
      <c r="D20" s="21" t="n"/>
      <c r="E20" s="21" t="n"/>
      <c r="G20" s="18" t="inlineStr">
        <is>
          <t>Vale-Transporte (desconto máx.)</t>
        </is>
      </c>
      <c r="H20" s="22" t="n">
        <v>0.06</v>
      </c>
      <c r="I20" s="19" t="inlineStr">
        <is>
          <t>Lei 7.418/85</t>
        </is>
      </c>
      <c r="J20" s="19" t="n"/>
    </row>
  </sheetData>
  <mergeCells count="15">
    <mergeCell ref="B18:E18"/>
    <mergeCell ref="I20:J20"/>
    <mergeCell ref="G3:J3"/>
    <mergeCell ref="I16:J16"/>
    <mergeCell ref="I15:J15"/>
    <mergeCell ref="I19:J19"/>
    <mergeCell ref="B1:J1"/>
    <mergeCell ref="B3:E3"/>
    <mergeCell ref="B19:E19"/>
    <mergeCell ref="B20:E20"/>
    <mergeCell ref="G11:J11"/>
    <mergeCell ref="B10:E10"/>
    <mergeCell ref="I17:J17"/>
    <mergeCell ref="I18:J18"/>
    <mergeCell ref="G14:J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B1:I50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  <col width="3" customWidth="1" min="4" max="4"/>
    <col width="38" customWidth="1" min="5" max="5"/>
    <col width="20" customWidth="1" min="6" max="6"/>
    <col width="3" customWidth="1" min="7" max="7"/>
    <col width="38" customWidth="1" min="8" max="8"/>
    <col width="20" customWidth="1" min="9" max="9"/>
  </cols>
  <sheetData>
    <row r="1">
      <c r="B1" s="1" t="inlineStr">
        <is>
          <t>CALCULADORA DE NÓMINA MENSUAL — EMPREGADO DOMÉSTICO 2026</t>
        </is>
      </c>
      <c r="C1" s="1" t="n"/>
      <c r="D1" s="1" t="n"/>
      <c r="E1" s="1" t="n"/>
      <c r="F1" s="1" t="n"/>
      <c r="G1" s="1" t="n"/>
      <c r="H1" s="1" t="n"/>
      <c r="I1" s="1" t="n"/>
    </row>
    <row r="3">
      <c r="B3" s="2" t="inlineStr">
        <is>
          <t>DADOS DO EMPREGADO (Inputs)</t>
        </is>
      </c>
      <c r="C3" s="2" t="n"/>
      <c r="E3" s="2" t="inlineStr">
        <is>
          <t>DADOS ADICIONAIS</t>
        </is>
      </c>
      <c r="F3" s="2" t="n"/>
    </row>
    <row r="4">
      <c r="B4" s="15" t="inlineStr">
        <is>
          <t>Salário Bruto Mensal (R$)</t>
        </is>
      </c>
      <c r="C4" s="16" t="n">
        <v>1621</v>
      </c>
      <c r="E4" s="15" t="inlineStr">
        <is>
          <t>Mês de Competência (1-12)</t>
        </is>
      </c>
      <c r="F4" s="20" t="n">
        <v>1</v>
      </c>
    </row>
    <row r="5">
      <c r="B5" s="15" t="inlineStr">
        <is>
          <t>Dias Trabalhados no Mês</t>
        </is>
      </c>
      <c r="C5" s="20" t="n">
        <v>30</v>
      </c>
      <c r="E5" s="15" t="inlineStr">
        <is>
          <t>Ano</t>
        </is>
      </c>
      <c r="F5" s="20" t="n">
        <v>2026</v>
      </c>
    </row>
    <row r="6">
      <c r="B6" s="15" t="inlineStr">
        <is>
          <t>Horas Extras 50% (quantidade)</t>
        </is>
      </c>
      <c r="C6" s="23" t="n">
        <v>0</v>
      </c>
      <c r="E6" s="15" t="inlineStr">
        <is>
          <t>Jornada Semanal (horas)</t>
        </is>
      </c>
      <c r="F6" s="20" t="n">
        <v>44</v>
      </c>
    </row>
    <row r="7">
      <c r="B7" s="15" t="inlineStr">
        <is>
          <t>Horas Extras 100% (dom/feriado)</t>
        </is>
      </c>
      <c r="C7" s="23" t="n">
        <v>0</v>
      </c>
      <c r="E7" s="15" t="inlineStr">
        <is>
          <t>Desconto Plano Saúde (R$)</t>
        </is>
      </c>
      <c r="F7" s="16" t="n">
        <v>0</v>
      </c>
    </row>
    <row r="8">
      <c r="B8" s="15" t="inlineStr">
        <is>
          <t>Horas Noturnas (adicional 20%)</t>
        </is>
      </c>
      <c r="C8" s="23" t="n">
        <v>0</v>
      </c>
      <c r="E8" s="15" t="inlineStr">
        <is>
          <t>Pensão Alimentícia (R$)</t>
        </is>
      </c>
      <c r="F8" s="16" t="n">
        <v>0</v>
      </c>
    </row>
    <row r="9">
      <c r="B9" s="15" t="inlineStr">
        <is>
          <t>Faltas Injustificadas (dias)</t>
        </is>
      </c>
      <c r="C9" s="20" t="n">
        <v>0</v>
      </c>
      <c r="E9" s="15" t="inlineStr">
        <is>
          <t>Outros Descontos (R$)</t>
        </is>
      </c>
      <c r="F9" s="16" t="n">
        <v>0</v>
      </c>
    </row>
    <row r="10">
      <c r="B10" s="15" t="inlineStr">
        <is>
          <t>Adiantamento Salarial (R$)</t>
        </is>
      </c>
      <c r="C10" s="16" t="n">
        <v>0</v>
      </c>
      <c r="E10" s="15" t="inlineStr">
        <is>
          <t>Empréstimo Consignado (R$)</t>
        </is>
      </c>
      <c r="F10" s="16" t="n">
        <v>0</v>
      </c>
    </row>
    <row r="11">
      <c r="B11" s="15" t="inlineStr">
        <is>
          <t>Nº Dependentes Salário-Família</t>
        </is>
      </c>
      <c r="C11" s="20" t="n">
        <v>0</v>
      </c>
    </row>
    <row r="12">
      <c r="B12" s="15" t="inlineStr">
        <is>
          <t>Usa Vale-Transporte? (1=Sim, 0=Não)</t>
        </is>
      </c>
      <c r="C12" s="20" t="n">
        <v>1</v>
      </c>
    </row>
    <row r="13">
      <c r="B13" s="15" t="inlineStr">
        <is>
          <t>Custo Diário VT (R$) — valor real</t>
        </is>
      </c>
      <c r="C13" s="16" t="n">
        <v>15</v>
      </c>
    </row>
    <row r="14">
      <c r="B14" s="15" t="inlineStr">
        <is>
          <t>Nº Dependentes IRRF</t>
        </is>
      </c>
      <c r="C14" s="20" t="n">
        <v>0</v>
      </c>
    </row>
    <row r="16">
      <c r="B16" s="2" t="inlineStr">
        <is>
          <t>PROVENTOS (Créditos ao Empregado)</t>
        </is>
      </c>
      <c r="C16" s="2" t="n"/>
      <c r="E16" s="2" t="inlineStr">
        <is>
          <t>DESCONTOS (Débitos do Empregado)</t>
        </is>
      </c>
      <c r="F16" s="2" t="n"/>
      <c r="H16" s="2" t="inlineStr">
        <is>
          <t>ENCARGOS DO EMPREGADOR (DAE)</t>
        </is>
      </c>
      <c r="I16" s="2" t="n"/>
    </row>
    <row r="17">
      <c r="B17" s="24" t="inlineStr">
        <is>
          <t>Cálculos Base</t>
        </is>
      </c>
      <c r="C17" s="24" t="n"/>
      <c r="E17" s="24" t="inlineStr">
        <is>
          <t>INSS Empregado (Progressivo)</t>
        </is>
      </c>
      <c r="F17" s="24" t="n"/>
      <c r="H17" s="24" t="inlineStr">
        <is>
          <t>Componentes do DAE</t>
        </is>
      </c>
      <c r="I17" s="24" t="n"/>
    </row>
    <row r="18">
      <c r="B18" s="15" t="inlineStr">
        <is>
          <t>Valor Hora Normal</t>
        </is>
      </c>
      <c r="C18" s="4">
        <f>C4/(F6*5)</f>
        <v/>
      </c>
      <c r="E18" s="15" t="inlineStr">
        <is>
          <t>Base INSS (= Remuneração Bruta)</t>
        </is>
      </c>
      <c r="F18" s="4">
        <f>C33</f>
        <v/>
      </c>
      <c r="H18" s="15" t="inlineStr">
        <is>
          <t>INSS Patronal (8%)</t>
        </is>
      </c>
      <c r="I18" s="4">
        <f>ROUND(C33*0.08,2)</f>
        <v/>
      </c>
    </row>
    <row r="19">
      <c r="B19" s="15" t="inlineStr">
        <is>
          <t>Salário Proporcional (dias trabalhados)</t>
        </is>
      </c>
      <c r="C19" s="4">
        <f>ROUND(C4/30*C5,2)</f>
        <v/>
      </c>
      <c r="E19" s="15" t="inlineStr">
        <is>
          <t>INSS Empregado</t>
        </is>
      </c>
      <c r="F19" s="4">
        <f>ROUND(IF(F18&lt;='Tabelas 2026'!C5, F18*'Tabelas 2026'!D5-'Tabelas 2026'!E5,IF(F18&lt;='Tabelas 2026'!C6, F18*'Tabelas 2026'!D6-'Tabelas 2026'!E6,IF(F18&lt;='Tabelas 2026'!C7, F18*'Tabelas 2026'!D7-'Tabelas 2026'!E7,IF(F18&lt;='Tabelas 2026'!C8, F18*'Tabelas 2026'!D8-'Tabelas 2026'!E8,'Tabelas 2026'!C8*'Tabelas 2026'!D8-'Tabelas 2026'!E8)))),2)</f>
        <v/>
      </c>
      <c r="H19" s="15" t="inlineStr">
        <is>
          <t>FGTS (8%)</t>
        </is>
      </c>
      <c r="I19" s="4">
        <f>ROUND(C33*0.08,2)</f>
        <v/>
      </c>
    </row>
    <row r="20">
      <c r="B20" s="15" t="inlineStr">
        <is>
          <t>Desconto Faltas</t>
        </is>
      </c>
      <c r="C20" s="4">
        <f>ROUND(C4/30*C9,2)</f>
        <v/>
      </c>
      <c r="E20" s="15" t="inlineStr">
        <is>
          <t>Alíquota Efetiva INSS</t>
        </is>
      </c>
      <c r="F20" s="5">
        <f>IF(F18&gt;0,F19/F18,0)</f>
        <v/>
      </c>
      <c r="H20" s="15" t="inlineStr">
        <is>
          <t>FGTS Compensatório (3.2%)</t>
        </is>
      </c>
      <c r="I20" s="4">
        <f>ROUND(C33*0.032,2)</f>
        <v/>
      </c>
    </row>
    <row r="21">
      <c r="B21" s="15" t="inlineStr">
        <is>
          <t>Saldo de Salário</t>
        </is>
      </c>
      <c r="C21" s="4">
        <f>ROUND(C19-C20,2)</f>
        <v/>
      </c>
      <c r="H21" s="15" t="inlineStr">
        <is>
          <t>Seguro Acidente de Trabalho (0.8%)</t>
        </is>
      </c>
      <c r="I21" s="4">
        <f>ROUND(C33*0.008,2)</f>
        <v/>
      </c>
    </row>
    <row r="22">
      <c r="E22" s="24" t="inlineStr">
        <is>
          <t>IRRF (Imposto de Renda)</t>
        </is>
      </c>
      <c r="F22" s="24" t="n"/>
      <c r="H22" s="15" t="inlineStr">
        <is>
          <t>INSS Empregado (retenido)</t>
        </is>
      </c>
      <c r="I22" s="4">
        <f>F19</f>
        <v/>
      </c>
    </row>
    <row r="23">
      <c r="B23" s="24" t="inlineStr">
        <is>
          <t>Adicionais</t>
        </is>
      </c>
      <c r="C23" s="24" t="n"/>
      <c r="E23" s="15" t="inlineStr">
        <is>
          <t>Base IRRF = Bruta - INSS - Ded. Simplif.</t>
        </is>
      </c>
      <c r="F23" s="4">
        <f>MAX(C33-F19-607.20, 0)</f>
        <v/>
      </c>
      <c r="H23" s="15" t="inlineStr">
        <is>
          <t>IRRF Empregado (retenido)</t>
        </is>
      </c>
      <c r="I23" s="4">
        <f>F26</f>
        <v/>
      </c>
    </row>
    <row r="24">
      <c r="B24" s="15" t="inlineStr">
        <is>
          <t>Horas Extras 50%</t>
        </is>
      </c>
      <c r="C24" s="4">
        <f>ROUND(C18*1.5*C6,2)</f>
        <v/>
      </c>
      <c r="E24" s="15" t="inlineStr">
        <is>
          <t>IRRF Bruto (antes reduções)</t>
        </is>
      </c>
      <c r="F24" s="4">
        <f>ROUND(IF(F23&lt;='Tabelas 2026'!C12, 0,IF(F23&lt;='Tabelas 2026'!C13, F23*'Tabelas 2026'!D13-'Tabelas 2026'!E13,IF(F23&lt;='Tabelas 2026'!C14, F23*'Tabelas 2026'!D14-'Tabelas 2026'!E14,IF(F23&lt;='Tabelas 2026'!C15, F23*'Tabelas 2026'!D15-'Tabelas 2026'!E15,F23*'Tabelas 2026'!D16-'Tabelas 2026'!E16)))),2)</f>
        <v/>
      </c>
    </row>
    <row r="25">
      <c r="B25" s="15" t="inlineStr">
        <is>
          <t>Horas Extras 100% (dom/feriado)</t>
        </is>
      </c>
      <c r="C25" s="4">
        <f>ROUND(C18*2*C7,2)</f>
        <v/>
      </c>
      <c r="E25" s="15" t="inlineStr">
        <is>
          <t>Redutor Lei 15.270/2025</t>
        </is>
      </c>
      <c r="F25" s="4">
        <f>ROUND(IF(C4&lt;=5000, F24,IF(C4&lt;=7350, MAX(978.62-0.133145*C4, 0),0)),2)</f>
        <v/>
      </c>
      <c r="H25" s="24" t="inlineStr">
        <is>
          <t>TOTAL DAE A PAGAR</t>
        </is>
      </c>
      <c r="I25" s="24" t="n"/>
    </row>
    <row r="26">
      <c r="B26" s="15" t="inlineStr">
        <is>
          <t>Adicional Noturno (20%)</t>
        </is>
      </c>
      <c r="C26" s="4">
        <f>ROUND(C18*0.2*C8,2)</f>
        <v/>
      </c>
      <c r="E26" s="15" t="inlineStr">
        <is>
          <t>IRRF Final a Descontar</t>
        </is>
      </c>
      <c r="F26" s="4">
        <f>MAX(ROUND(F24-F25,2),0)</f>
        <v/>
      </c>
      <c r="H26" s="15" t="inlineStr">
        <is>
          <t>DAE Total (empregador paga)</t>
        </is>
      </c>
      <c r="I26" s="25">
        <f>ROUND(I18+I19+I20+I21+I22+I23,2)</f>
        <v/>
      </c>
    </row>
    <row r="27">
      <c r="B27" s="15" t="inlineStr">
        <is>
          <t>DSR sobre HE (1/6 das HE)</t>
        </is>
      </c>
      <c r="C27" s="4">
        <f>ROUND((C24+C25+C26)/6,2)</f>
        <v/>
      </c>
    </row>
    <row r="28">
      <c r="E28" s="24" t="inlineStr">
        <is>
          <t>Outros Descontos</t>
        </is>
      </c>
      <c r="F28" s="24" t="n"/>
      <c r="H28" s="24" t="inlineStr">
        <is>
          <t>Subdivisão do DAE</t>
        </is>
      </c>
      <c r="I28" s="24" t="n"/>
    </row>
    <row r="29">
      <c r="B29" s="24" t="inlineStr">
        <is>
          <t>Benefícios</t>
        </is>
      </c>
      <c r="C29" s="24" t="n"/>
      <c r="E29" s="15" t="inlineStr">
        <is>
          <t>Vale-Transporte (6% do salário)</t>
        </is>
      </c>
      <c r="F29" s="4">
        <f>IF(C12=1, ROUND(MIN(C4*0.06, C13*C5),2), 0)</f>
        <v/>
      </c>
      <c r="H29" s="15" t="inlineStr">
        <is>
          <t xml:space="preserve">  → Custo puro del empleador</t>
        </is>
      </c>
      <c r="I29" s="4">
        <f>ROUND(I18+I19+I20+I21,2)</f>
        <v/>
      </c>
    </row>
    <row r="30">
      <c r="B30" s="15" t="inlineStr">
        <is>
          <t>Salário-Família</t>
        </is>
      </c>
      <c r="C30" s="4">
        <f>IF(C4&lt;=1980.38,C11*67.54,0)</f>
        <v/>
      </c>
      <c r="E30" s="15" t="inlineStr">
        <is>
          <t>Adiantamento Salarial</t>
        </is>
      </c>
      <c r="F30" s="4">
        <f>C10</f>
        <v/>
      </c>
      <c r="H30" s="15" t="inlineStr">
        <is>
          <t xml:space="preserve">  → Retenciones del empleado</t>
        </is>
      </c>
      <c r="I30" s="4">
        <f>ROUND(I22+I23,2)</f>
        <v/>
      </c>
    </row>
    <row r="31">
      <c r="B31" s="15" t="inlineStr"/>
      <c r="E31" s="15" t="inlineStr">
        <is>
          <t>Plano de Saúde</t>
        </is>
      </c>
      <c r="F31" s="4">
        <f>F7</f>
        <v/>
      </c>
      <c r="H31" s="15" t="inlineStr">
        <is>
          <t xml:space="preserve">  → Desconto Salário-Família no DAE</t>
        </is>
      </c>
      <c r="I31" s="4">
        <f>C30</f>
        <v/>
      </c>
    </row>
    <row r="32">
      <c r="B32" s="24" t="inlineStr">
        <is>
          <t>TOTAL PROVENTOS (REMUNERAÇÃO BRUTA)</t>
        </is>
      </c>
      <c r="C32" s="24" t="n"/>
      <c r="E32" s="15" t="inlineStr">
        <is>
          <t>Pensão Alimentícia</t>
        </is>
      </c>
      <c r="F32" s="4">
        <f>F8</f>
        <v/>
      </c>
      <c r="H32" s="15" t="inlineStr">
        <is>
          <t>DAE Líquido (após SF)</t>
        </is>
      </c>
      <c r="I32" s="4">
        <f>ROUND(I26-I31,2)</f>
        <v/>
      </c>
    </row>
    <row r="33">
      <c r="B33" s="15" t="inlineStr">
        <is>
          <t>Remuneração Bruta Total</t>
        </is>
      </c>
      <c r="C33" s="26">
        <f>ROUND(C21+C24+C25+C26+C27+C30,2)</f>
        <v/>
      </c>
      <c r="E33" s="15" t="inlineStr">
        <is>
          <t>Empréstimo Consignado</t>
        </is>
      </c>
      <c r="F33" s="4">
        <f>F10</f>
        <v/>
      </c>
    </row>
    <row r="34">
      <c r="E34" s="15" t="inlineStr">
        <is>
          <t>Outros Descontos</t>
        </is>
      </c>
      <c r="F34" s="4">
        <f>F9</f>
        <v/>
      </c>
    </row>
    <row r="36">
      <c r="E36" s="24" t="inlineStr">
        <is>
          <t>TOTAL DESCONTOS</t>
        </is>
      </c>
      <c r="F36" s="24" t="n"/>
    </row>
    <row r="37">
      <c r="E37" s="15" t="inlineStr">
        <is>
          <t>Total Descontos do Empregado</t>
        </is>
      </c>
      <c r="F37" s="25">
        <f>ROUND(F19+F26+F29+F30+F31+F32+F33+F34,2)</f>
        <v/>
      </c>
    </row>
    <row r="39">
      <c r="B39" s="2" t="inlineStr">
        <is>
          <t>RESULTADO FINAL</t>
        </is>
      </c>
      <c r="C39" s="2" t="n"/>
      <c r="D39" s="2" t="n"/>
      <c r="E39" s="2" t="n"/>
      <c r="F39" s="2" t="n"/>
      <c r="G39" s="2" t="n"/>
      <c r="H39" s="2" t="n"/>
      <c r="I39" s="2" t="n"/>
    </row>
    <row r="41">
      <c r="B41" s="24" t="inlineStr">
        <is>
          <t>CHEQUE CONTRA ENTREGA (Salário Líquido)</t>
        </is>
      </c>
      <c r="C41" s="24" t="n"/>
      <c r="D41" s="24" t="n"/>
      <c r="E41" s="24" t="n"/>
    </row>
    <row r="42">
      <c r="B42" s="15">
        <f> Remuneração Bruta - Total Descontos + Salário-Família</f>
        <v/>
      </c>
      <c r="C42" s="15" t="n"/>
      <c r="D42" s="15" t="n"/>
      <c r="E42" s="15" t="n"/>
      <c r="F42" s="27">
        <f>ROUND(C33-F37+C30,2)</f>
        <v/>
      </c>
    </row>
    <row r="44">
      <c r="B44" s="24" t="inlineStr">
        <is>
          <t>DAE A PAGAR (Guia Unificada)</t>
        </is>
      </c>
      <c r="C44" s="24" t="n"/>
      <c r="D44" s="24" t="n"/>
      <c r="E44" s="24" t="n"/>
    </row>
    <row r="45">
      <c r="B45" s="15">
        <f> Encargos empregador + INSS + IRRF retidos - Sal.Família</f>
        <v/>
      </c>
      <c r="C45" s="15" t="n"/>
      <c r="D45" s="15" t="n"/>
      <c r="E45" s="15" t="n"/>
      <c r="F45" s="28">
        <f>I32</f>
        <v/>
      </c>
    </row>
    <row r="47">
      <c r="B47" s="24" t="inlineStr">
        <is>
          <t>CUSTO TOTAL MENSAL DO EMPREGADOR</t>
        </is>
      </c>
      <c r="C47" s="24" t="n"/>
      <c r="D47" s="24" t="n"/>
      <c r="E47" s="24" t="n"/>
    </row>
    <row r="48">
      <c r="B48" s="15">
        <f> Cheque + DAE + VT (parcela empregador)</f>
        <v/>
      </c>
      <c r="C48" s="15" t="n"/>
      <c r="D48" s="15" t="n"/>
      <c r="E48" s="15" t="n"/>
    </row>
    <row r="49">
      <c r="B49" s="15" t="inlineStr">
        <is>
          <t xml:space="preserve">   Parcela Empregador VT</t>
        </is>
      </c>
      <c r="C49" s="15" t="n"/>
      <c r="D49" s="15" t="n"/>
      <c r="E49" s="15" t="n"/>
      <c r="F49" s="4">
        <f>IF(C12=1, MAX(ROUND(C13*C5 - F29,2),0), 0)</f>
        <v/>
      </c>
    </row>
    <row r="50">
      <c r="B50" s="15" t="inlineStr">
        <is>
          <t>CUSTO TOTAL MENSAL</t>
        </is>
      </c>
      <c r="C50" s="15" t="n"/>
      <c r="D50" s="15" t="n"/>
      <c r="E50" s="15" t="n"/>
      <c r="F50" s="29">
        <f>ROUND(F42+F45+F49,2)</f>
        <v/>
      </c>
    </row>
  </sheetData>
  <mergeCells count="26">
    <mergeCell ref="B16:C16"/>
    <mergeCell ref="B49:E49"/>
    <mergeCell ref="B3:C3"/>
    <mergeCell ref="E17:F17"/>
    <mergeCell ref="B45:E45"/>
    <mergeCell ref="H25:I25"/>
    <mergeCell ref="B41:E41"/>
    <mergeCell ref="B50:E50"/>
    <mergeCell ref="B39:I39"/>
    <mergeCell ref="B23:C23"/>
    <mergeCell ref="E28:F28"/>
    <mergeCell ref="B47:E47"/>
    <mergeCell ref="B17:C17"/>
    <mergeCell ref="B1:I1"/>
    <mergeCell ref="H17:I17"/>
    <mergeCell ref="B29:C29"/>
    <mergeCell ref="H16:I16"/>
    <mergeCell ref="B48:E48"/>
    <mergeCell ref="E36:F36"/>
    <mergeCell ref="H28:I28"/>
    <mergeCell ref="B42:E42"/>
    <mergeCell ref="E16:F16"/>
    <mergeCell ref="B44:E44"/>
    <mergeCell ref="B32:C32"/>
    <mergeCell ref="E22:F22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B1:O35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>
      <c r="B1" s="1" t="inlineStr">
        <is>
          <t>SIMULADOR ANUAL 2026 — EMPREGADO DOMÉSTICO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3">
      <c r="B3" s="2" t="inlineStr">
        <is>
          <t>INPUTS ANUAIS</t>
        </is>
      </c>
      <c r="C3" s="2" t="n"/>
      <c r="D3" s="2" t="n"/>
      <c r="E3" s="2" t="n"/>
    </row>
    <row r="4">
      <c r="B4" s="15" t="inlineStr">
        <is>
          <t>Salário Bruto Base Mensal (R$)</t>
        </is>
      </c>
      <c r="C4" s="16" t="n">
        <v>1621</v>
      </c>
    </row>
    <row r="5">
      <c r="B5" s="15" t="inlineStr">
        <is>
          <t>Usa Vale-Transporte? (1=Sim)</t>
        </is>
      </c>
      <c r="C5" s="20" t="n">
        <v>1</v>
      </c>
    </row>
    <row r="6">
      <c r="B6" s="15" t="inlineStr">
        <is>
          <t>Custo Diário VT (R$)</t>
        </is>
      </c>
      <c r="C6" s="16" t="n">
        <v>15</v>
      </c>
    </row>
    <row r="7">
      <c r="B7" s="15" t="inlineStr">
        <is>
          <t>Nº Dependentes Salário-Família</t>
        </is>
      </c>
      <c r="C7" s="20" t="n">
        <v>0</v>
      </c>
    </row>
    <row r="8">
      <c r="B8" s="15" t="inlineStr">
        <is>
          <t>Mês de Admissão (1-12, ou 0 se antes)</t>
        </is>
      </c>
      <c r="C8" s="20" t="n">
        <v>0</v>
      </c>
    </row>
    <row r="10">
      <c r="B10" s="30" t="inlineStr">
        <is>
          <t>CONCEITO</t>
        </is>
      </c>
      <c r="C10" s="30" t="inlineStr">
        <is>
          <t>Janeiro</t>
        </is>
      </c>
      <c r="D10" s="30" t="inlineStr">
        <is>
          <t>Fevereiro</t>
        </is>
      </c>
      <c r="E10" s="30" t="inlineStr">
        <is>
          <t>Março</t>
        </is>
      </c>
      <c r="F10" s="30" t="inlineStr">
        <is>
          <t>Abril</t>
        </is>
      </c>
      <c r="G10" s="30" t="inlineStr">
        <is>
          <t>Maio</t>
        </is>
      </c>
      <c r="H10" s="30" t="inlineStr">
        <is>
          <t>Junho</t>
        </is>
      </c>
      <c r="I10" s="30" t="inlineStr">
        <is>
          <t>Julho</t>
        </is>
      </c>
      <c r="J10" s="30" t="inlineStr">
        <is>
          <t>Agosto</t>
        </is>
      </c>
      <c r="K10" s="30" t="inlineStr">
        <is>
          <t>Setembro</t>
        </is>
      </c>
      <c r="L10" s="30" t="inlineStr">
        <is>
          <t>Outubro</t>
        </is>
      </c>
      <c r="M10" s="30" t="inlineStr">
        <is>
          <t>Novembro</t>
        </is>
      </c>
      <c r="N10" s="30" t="inlineStr">
        <is>
          <t>Dezembro</t>
        </is>
      </c>
      <c r="O10" s="30" t="inlineStr">
        <is>
          <t>TOTAL ANUAL</t>
        </is>
      </c>
    </row>
    <row r="11">
      <c r="B11" s="31" t="inlineStr">
        <is>
          <t>PROVENTOS</t>
        </is>
      </c>
      <c r="C11" s="32" t="inlineStr"/>
      <c r="D11" s="32" t="inlineStr"/>
      <c r="E11" s="32" t="inlineStr"/>
      <c r="F11" s="32" t="inlineStr"/>
      <c r="G11" s="32" t="inlineStr"/>
      <c r="H11" s="32" t="inlineStr"/>
      <c r="I11" s="32" t="inlineStr"/>
      <c r="J11" s="32" t="inlineStr"/>
      <c r="K11" s="32" t="inlineStr"/>
      <c r="L11" s="32" t="inlineStr"/>
      <c r="M11" s="32" t="inlineStr"/>
      <c r="N11" s="32" t="inlineStr"/>
      <c r="O11" s="32" t="inlineStr"/>
    </row>
    <row r="12">
      <c r="B12" s="15" t="inlineStr">
        <is>
          <t>Salário Bruto</t>
        </is>
      </c>
      <c r="C12" s="8">
        <f>IF(AND($C$8&gt;0,1&lt;$C$8),0,$C$4)</f>
        <v/>
      </c>
      <c r="D12" s="8">
        <f>IF(AND($C$8&gt;0,2&lt;$C$8),0,$C$4)</f>
        <v/>
      </c>
      <c r="E12" s="8">
        <f>IF(AND($C$8&gt;0,3&lt;$C$8),0,$C$4)</f>
        <v/>
      </c>
      <c r="F12" s="8">
        <f>IF(AND($C$8&gt;0,4&lt;$C$8),0,$C$4)</f>
        <v/>
      </c>
      <c r="G12" s="8">
        <f>IF(AND($C$8&gt;0,5&lt;$C$8),0,$C$4)</f>
        <v/>
      </c>
      <c r="H12" s="8">
        <f>IF(AND($C$8&gt;0,6&lt;$C$8),0,$C$4)</f>
        <v/>
      </c>
      <c r="I12" s="8">
        <f>IF(AND($C$8&gt;0,7&lt;$C$8),0,$C$4)</f>
        <v/>
      </c>
      <c r="J12" s="8">
        <f>IF(AND($C$8&gt;0,8&lt;$C$8),0,$C$4)</f>
        <v/>
      </c>
      <c r="K12" s="8">
        <f>IF(AND($C$8&gt;0,9&lt;$C$8),0,$C$4)</f>
        <v/>
      </c>
      <c r="L12" s="8">
        <f>IF(AND($C$8&gt;0,10&lt;$C$8),0,$C$4)</f>
        <v/>
      </c>
      <c r="M12" s="8">
        <f>IF(AND($C$8&gt;0,11&lt;$C$8),0,$C$4)</f>
        <v/>
      </c>
      <c r="N12" s="8">
        <f>IF(AND($C$8&gt;0,12&lt;$C$8),0,$C$4)</f>
        <v/>
      </c>
      <c r="O12" s="8">
        <f>SUM(C12:N12)</f>
        <v/>
      </c>
    </row>
    <row r="13">
      <c r="B13" s="15" t="inlineStr">
        <is>
          <t>Salário-Família</t>
        </is>
      </c>
      <c r="C13" s="4">
        <f>IF(AND($C$8&gt;0,1&lt;$C$8),0,IF($C$4&lt;=1980.38,$C$7*67.54,0))</f>
        <v/>
      </c>
      <c r="D13" s="4">
        <f>IF(AND($C$8&gt;0,2&lt;$C$8),0,IF($C$4&lt;=1980.38,$C$7*67.54,0))</f>
        <v/>
      </c>
      <c r="E13" s="4">
        <f>IF(AND($C$8&gt;0,3&lt;$C$8),0,IF($C$4&lt;=1980.38,$C$7*67.54,0))</f>
        <v/>
      </c>
      <c r="F13" s="4">
        <f>IF(AND($C$8&gt;0,4&lt;$C$8),0,IF($C$4&lt;=1980.38,$C$7*67.54,0))</f>
        <v/>
      </c>
      <c r="G13" s="4">
        <f>IF(AND($C$8&gt;0,5&lt;$C$8),0,IF($C$4&lt;=1980.38,$C$7*67.54,0))</f>
        <v/>
      </c>
      <c r="H13" s="4">
        <f>IF(AND($C$8&gt;0,6&lt;$C$8),0,IF($C$4&lt;=1980.38,$C$7*67.54,0))</f>
        <v/>
      </c>
      <c r="I13" s="4">
        <f>IF(AND($C$8&gt;0,7&lt;$C$8),0,IF($C$4&lt;=1980.38,$C$7*67.54,0))</f>
        <v/>
      </c>
      <c r="J13" s="4">
        <f>IF(AND($C$8&gt;0,8&lt;$C$8),0,IF($C$4&lt;=1980.38,$C$7*67.54,0))</f>
        <v/>
      </c>
      <c r="K13" s="4">
        <f>IF(AND($C$8&gt;0,9&lt;$C$8),0,IF($C$4&lt;=1980.38,$C$7*67.54,0))</f>
        <v/>
      </c>
      <c r="L13" s="4">
        <f>IF(AND($C$8&gt;0,10&lt;$C$8),0,IF($C$4&lt;=1980.38,$C$7*67.54,0))</f>
        <v/>
      </c>
      <c r="M13" s="4">
        <f>IF(AND($C$8&gt;0,11&lt;$C$8),0,IF($C$4&lt;=1980.38,$C$7*67.54,0))</f>
        <v/>
      </c>
      <c r="N13" s="4">
        <f>IF(AND($C$8&gt;0,12&lt;$C$8),0,IF($C$4&lt;=1980.38,$C$7*67.54,0))</f>
        <v/>
      </c>
      <c r="O13" s="8">
        <f>SUM(C13:N13)</f>
        <v/>
      </c>
    </row>
    <row r="14">
      <c r="B14" s="33" t="inlineStr">
        <is>
          <t>Total Proventos</t>
        </is>
      </c>
      <c r="C14" s="34">
        <f>ROUND(C12+C13,2)</f>
        <v/>
      </c>
      <c r="D14" s="34">
        <f>ROUND(D12+D13,2)</f>
        <v/>
      </c>
      <c r="E14" s="34">
        <f>ROUND(E12+E13,2)</f>
        <v/>
      </c>
      <c r="F14" s="34">
        <f>ROUND(F12+F13,2)</f>
        <v/>
      </c>
      <c r="G14" s="34">
        <f>ROUND(G12+G13,2)</f>
        <v/>
      </c>
      <c r="H14" s="34">
        <f>ROUND(H12+H13,2)</f>
        <v/>
      </c>
      <c r="I14" s="34">
        <f>ROUND(I12+I13,2)</f>
        <v/>
      </c>
      <c r="J14" s="34">
        <f>ROUND(J12+J13,2)</f>
        <v/>
      </c>
      <c r="K14" s="34">
        <f>ROUND(K12+K13,2)</f>
        <v/>
      </c>
      <c r="L14" s="34">
        <f>ROUND(L12+L13,2)</f>
        <v/>
      </c>
      <c r="M14" s="34">
        <f>ROUND(M12+M13,2)</f>
        <v/>
      </c>
      <c r="N14" s="34">
        <f>ROUND(N12+N13,2)</f>
        <v/>
      </c>
      <c r="O14" s="34">
        <f>SUM(C14:N14)</f>
        <v/>
      </c>
    </row>
    <row r="16">
      <c r="B16" s="31" t="inlineStr">
        <is>
          <t>DESCONTOS DO EMPREGADO</t>
        </is>
      </c>
      <c r="C16" s="32" t="inlineStr"/>
      <c r="D16" s="32" t="inlineStr"/>
      <c r="E16" s="32" t="inlineStr"/>
      <c r="F16" s="32" t="inlineStr"/>
      <c r="G16" s="32" t="inlineStr"/>
      <c r="H16" s="32" t="inlineStr"/>
      <c r="I16" s="32" t="inlineStr"/>
      <c r="J16" s="32" t="inlineStr"/>
      <c r="K16" s="32" t="inlineStr"/>
      <c r="L16" s="32" t="inlineStr"/>
      <c r="M16" s="32" t="inlineStr"/>
      <c r="N16" s="32" t="inlineStr"/>
      <c r="O16" s="32" t="inlineStr"/>
    </row>
    <row r="17">
      <c r="B17" s="15" t="inlineStr">
        <is>
          <t>INSS Empregado</t>
        </is>
      </c>
      <c r="C17" s="4">
        <f>IF(C13=0,0,ROUND(IF(C13&lt;=1621,C13*0.075,IF(C13&lt;=2902.84,C13*0.09-24.32,IF(C13&lt;=4354.27,C13*0.12-111.40,IF(C13&lt;=8475.55,C13*0.14-198.49,8475.55*0.14-198.49)))),2))</f>
        <v/>
      </c>
      <c r="D17" s="4">
        <f>IF(D13=0,0,ROUND(IF(D13&lt;=1621,D13*0.075,IF(D13&lt;=2902.84,D13*0.09-24.32,IF(D13&lt;=4354.27,D13*0.12-111.40,IF(D13&lt;=8475.55,D13*0.14-198.49,8475.55*0.14-198.49)))),2))</f>
        <v/>
      </c>
      <c r="E17" s="4">
        <f>IF(E13=0,0,ROUND(IF(E13&lt;=1621,E13*0.075,IF(E13&lt;=2902.84,E13*0.09-24.32,IF(E13&lt;=4354.27,E13*0.12-111.40,IF(E13&lt;=8475.55,E13*0.14-198.49,8475.55*0.14-198.49)))),2))</f>
        <v/>
      </c>
      <c r="F17" s="4">
        <f>IF(F13=0,0,ROUND(IF(F13&lt;=1621,F13*0.075,IF(F13&lt;=2902.84,F13*0.09-24.32,IF(F13&lt;=4354.27,F13*0.12-111.40,IF(F13&lt;=8475.55,F13*0.14-198.49,8475.55*0.14-198.49)))),2))</f>
        <v/>
      </c>
      <c r="G17" s="4">
        <f>IF(G13=0,0,ROUND(IF(G13&lt;=1621,G13*0.075,IF(G13&lt;=2902.84,G13*0.09-24.32,IF(G13&lt;=4354.27,G13*0.12-111.40,IF(G13&lt;=8475.55,G13*0.14-198.49,8475.55*0.14-198.49)))),2))</f>
        <v/>
      </c>
      <c r="H17" s="4">
        <f>IF(H13=0,0,ROUND(IF(H13&lt;=1621,H13*0.075,IF(H13&lt;=2902.84,H13*0.09-24.32,IF(H13&lt;=4354.27,H13*0.12-111.40,IF(H13&lt;=8475.55,H13*0.14-198.49,8475.55*0.14-198.49)))),2))</f>
        <v/>
      </c>
      <c r="I17" s="4">
        <f>IF(I13=0,0,ROUND(IF(I13&lt;=1621,I13*0.075,IF(I13&lt;=2902.84,I13*0.09-24.32,IF(I13&lt;=4354.27,I13*0.12-111.40,IF(I13&lt;=8475.55,I13*0.14-198.49,8475.55*0.14-198.49)))),2))</f>
        <v/>
      </c>
      <c r="J17" s="4">
        <f>IF(J13=0,0,ROUND(IF(J13&lt;=1621,J13*0.075,IF(J13&lt;=2902.84,J13*0.09-24.32,IF(J13&lt;=4354.27,J13*0.12-111.40,IF(J13&lt;=8475.55,J13*0.14-198.49,8475.55*0.14-198.49)))),2))</f>
        <v/>
      </c>
      <c r="K17" s="4">
        <f>IF(K13=0,0,ROUND(IF(K13&lt;=1621,K13*0.075,IF(K13&lt;=2902.84,K13*0.09-24.32,IF(K13&lt;=4354.27,K13*0.12-111.40,IF(K13&lt;=8475.55,K13*0.14-198.49,8475.55*0.14-198.49)))),2))</f>
        <v/>
      </c>
      <c r="L17" s="4">
        <f>IF(L13=0,0,ROUND(IF(L13&lt;=1621,L13*0.075,IF(L13&lt;=2902.84,L13*0.09-24.32,IF(L13&lt;=4354.27,L13*0.12-111.40,IF(L13&lt;=8475.55,L13*0.14-198.49,8475.55*0.14-198.49)))),2))</f>
        <v/>
      </c>
      <c r="M17" s="4">
        <f>IF(M13=0,0,ROUND(IF(M13&lt;=1621,M13*0.075,IF(M13&lt;=2902.84,M13*0.09-24.32,IF(M13&lt;=4354.27,M13*0.12-111.40,IF(M13&lt;=8475.55,M13*0.14-198.49,8475.55*0.14-198.49)))),2))</f>
        <v/>
      </c>
      <c r="N17" s="4">
        <f>IF(N13=0,0,ROUND(IF(N13&lt;=1621,N13*0.075,IF(N13&lt;=2902.84,N13*0.09-24.32,IF(N13&lt;=4354.27,N13*0.12-111.40,IF(N13&lt;=8475.55,N13*0.14-198.49,8475.55*0.14-198.49)))),2))</f>
        <v/>
      </c>
      <c r="O17" s="8">
        <f>SUM(C17:N17)</f>
        <v/>
      </c>
    </row>
    <row r="18">
      <c r="B18" s="15" t="inlineStr">
        <is>
          <t>IRRF</t>
        </is>
      </c>
      <c r="C18" s="8">
        <f>IF(C13=0,0,ROUND(MAX(IF(MAX(C13-C17-607.20,0)&lt;=2428.80,0,IF(MAX(C13-C17-607.20,0)&lt;=2826.65,MAX(C13-C17-607.20,0)*0.075-182.16,IF(MAX(C13-C17-607.20,0)&lt;=3751.05,MAX(C13-C17-607.20,0)*0.15-394.16,IF(MAX(C13-C17-607.20,0)&lt;=4664.68,MAX(C13-C17-607.20,0)*0.225-675.49,MAX(C13-C17-607.20,0)*0.275-908.73))))-IF(C13&lt;=5000,IF(MAX(C13-C17-607.20,0)&lt;=2428.80,0,IF(MAX(C13-C17-607.20,0)&lt;=2826.65,MAX(C13-C17-607.20,0)*0.075-182.16,IF(MAX(C13-C17-607.20,0)&lt;=3751.05,MAX(C13-C17-607.20,0)*0.15-394.16,IF(MAX(C13-C17-607.20,0)&lt;=4664.68,MAX(C13-C17-607.20,0)*0.225-675.49,MAX(C13-C17-607.20,0)*0.275-908.73)))),IF(C13&lt;=7350,MAX(978.62-0.133145*C13,0),0)),0),2))</f>
        <v/>
      </c>
      <c r="D18" s="8">
        <f>IF(D13=0,0,ROUND(MAX(IF(MAX(D13-D17-607.20,0)&lt;=2428.80,0,IF(MAX(D13-D17-607.20,0)&lt;=2826.65,MAX(D13-D17-607.20,0)*0.075-182.16,IF(MAX(D13-D17-607.20,0)&lt;=3751.05,MAX(D13-D17-607.20,0)*0.15-394.16,IF(MAX(D13-D17-607.20,0)&lt;=4664.68,MAX(D13-D17-607.20,0)*0.225-675.49,MAX(D13-D17-607.20,0)*0.275-908.73))))-IF(D13&lt;=5000,IF(MAX(D13-D17-607.20,0)&lt;=2428.80,0,IF(MAX(D13-D17-607.20,0)&lt;=2826.65,MAX(D13-D17-607.20,0)*0.075-182.16,IF(MAX(D13-D17-607.20,0)&lt;=3751.05,MAX(D13-D17-607.20,0)*0.15-394.16,IF(MAX(D13-D17-607.20,0)&lt;=4664.68,MAX(D13-D17-607.20,0)*0.225-675.49,MAX(D13-D17-607.20,0)*0.275-908.73)))),IF(D13&lt;=7350,MAX(978.62-0.133145*D13,0),0)),0),2))</f>
        <v/>
      </c>
      <c r="E18" s="8">
        <f>IF(E13=0,0,ROUND(MAX(IF(MAX(E13-E17-607.20,0)&lt;=2428.80,0,IF(MAX(E13-E17-607.20,0)&lt;=2826.65,MAX(E13-E17-607.20,0)*0.075-182.16,IF(MAX(E13-E17-607.20,0)&lt;=3751.05,MAX(E13-E17-607.20,0)*0.15-394.16,IF(MAX(E13-E17-607.20,0)&lt;=4664.68,MAX(E13-E17-607.20,0)*0.225-675.49,MAX(E13-E17-607.20,0)*0.275-908.73))))-IF(E13&lt;=5000,IF(MAX(E13-E17-607.20,0)&lt;=2428.80,0,IF(MAX(E13-E17-607.20,0)&lt;=2826.65,MAX(E13-E17-607.20,0)*0.075-182.16,IF(MAX(E13-E17-607.20,0)&lt;=3751.05,MAX(E13-E17-607.20,0)*0.15-394.16,IF(MAX(E13-E17-607.20,0)&lt;=4664.68,MAX(E13-E17-607.20,0)*0.225-675.49,MAX(E13-E17-607.20,0)*0.275-908.73)))),IF(E13&lt;=7350,MAX(978.62-0.133145*E13,0),0)),0),2))</f>
        <v/>
      </c>
      <c r="F18" s="8">
        <f>IF(F13=0,0,ROUND(MAX(IF(MAX(F13-F17-607.20,0)&lt;=2428.80,0,IF(MAX(F13-F17-607.20,0)&lt;=2826.65,MAX(F13-F17-607.20,0)*0.075-182.16,IF(MAX(F13-F17-607.20,0)&lt;=3751.05,MAX(F13-F17-607.20,0)*0.15-394.16,IF(MAX(F13-F17-607.20,0)&lt;=4664.68,MAX(F13-F17-607.20,0)*0.225-675.49,MAX(F13-F17-607.20,0)*0.275-908.73))))-IF(F13&lt;=5000,IF(MAX(F13-F17-607.20,0)&lt;=2428.80,0,IF(MAX(F13-F17-607.20,0)&lt;=2826.65,MAX(F13-F17-607.20,0)*0.075-182.16,IF(MAX(F13-F17-607.20,0)&lt;=3751.05,MAX(F13-F17-607.20,0)*0.15-394.16,IF(MAX(F13-F17-607.20,0)&lt;=4664.68,MAX(F13-F17-607.20,0)*0.225-675.49,MAX(F13-F17-607.20,0)*0.275-908.73)))),IF(F13&lt;=7350,MAX(978.62-0.133145*F13,0),0)),0),2))</f>
        <v/>
      </c>
      <c r="G18" s="8">
        <f>IF(G13=0,0,ROUND(MAX(IF(MAX(G13-G17-607.20,0)&lt;=2428.80,0,IF(MAX(G13-G17-607.20,0)&lt;=2826.65,MAX(G13-G17-607.20,0)*0.075-182.16,IF(MAX(G13-G17-607.20,0)&lt;=3751.05,MAX(G13-G17-607.20,0)*0.15-394.16,IF(MAX(G13-G17-607.20,0)&lt;=4664.68,MAX(G13-G17-607.20,0)*0.225-675.49,MAX(G13-G17-607.20,0)*0.275-908.73))))-IF(G13&lt;=5000,IF(MAX(G13-G17-607.20,0)&lt;=2428.80,0,IF(MAX(G13-G17-607.20,0)&lt;=2826.65,MAX(G13-G17-607.20,0)*0.075-182.16,IF(MAX(G13-G17-607.20,0)&lt;=3751.05,MAX(G13-G17-607.20,0)*0.15-394.16,IF(MAX(G13-G17-607.20,0)&lt;=4664.68,MAX(G13-G17-607.20,0)*0.225-675.49,MAX(G13-G17-607.20,0)*0.275-908.73)))),IF(G13&lt;=7350,MAX(978.62-0.133145*G13,0),0)),0),2))</f>
        <v/>
      </c>
      <c r="H18" s="8">
        <f>IF(H13=0,0,ROUND(MAX(IF(MAX(H13-H17-607.20,0)&lt;=2428.80,0,IF(MAX(H13-H17-607.20,0)&lt;=2826.65,MAX(H13-H17-607.20,0)*0.075-182.16,IF(MAX(H13-H17-607.20,0)&lt;=3751.05,MAX(H13-H17-607.20,0)*0.15-394.16,IF(MAX(H13-H17-607.20,0)&lt;=4664.68,MAX(H13-H17-607.20,0)*0.225-675.49,MAX(H13-H17-607.20,0)*0.275-908.73))))-IF(H13&lt;=5000,IF(MAX(H13-H17-607.20,0)&lt;=2428.80,0,IF(MAX(H13-H17-607.20,0)&lt;=2826.65,MAX(H13-H17-607.20,0)*0.075-182.16,IF(MAX(H13-H17-607.20,0)&lt;=3751.05,MAX(H13-H17-607.20,0)*0.15-394.16,IF(MAX(H13-H17-607.20,0)&lt;=4664.68,MAX(H13-H17-607.20,0)*0.225-675.49,MAX(H13-H17-607.20,0)*0.275-908.73)))),IF(H13&lt;=7350,MAX(978.62-0.133145*H13,0),0)),0),2))</f>
        <v/>
      </c>
      <c r="I18" s="8">
        <f>IF(I13=0,0,ROUND(MAX(IF(MAX(I13-I17-607.20,0)&lt;=2428.80,0,IF(MAX(I13-I17-607.20,0)&lt;=2826.65,MAX(I13-I17-607.20,0)*0.075-182.16,IF(MAX(I13-I17-607.20,0)&lt;=3751.05,MAX(I13-I17-607.20,0)*0.15-394.16,IF(MAX(I13-I17-607.20,0)&lt;=4664.68,MAX(I13-I17-607.20,0)*0.225-675.49,MAX(I13-I17-607.20,0)*0.275-908.73))))-IF(I13&lt;=5000,IF(MAX(I13-I17-607.20,0)&lt;=2428.80,0,IF(MAX(I13-I17-607.20,0)&lt;=2826.65,MAX(I13-I17-607.20,0)*0.075-182.16,IF(MAX(I13-I17-607.20,0)&lt;=3751.05,MAX(I13-I17-607.20,0)*0.15-394.16,IF(MAX(I13-I17-607.20,0)&lt;=4664.68,MAX(I13-I17-607.20,0)*0.225-675.49,MAX(I13-I17-607.20,0)*0.275-908.73)))),IF(I13&lt;=7350,MAX(978.62-0.133145*I13,0),0)),0),2))</f>
        <v/>
      </c>
      <c r="J18" s="8">
        <f>IF(J13=0,0,ROUND(MAX(IF(MAX(J13-J17-607.20,0)&lt;=2428.80,0,IF(MAX(J13-J17-607.20,0)&lt;=2826.65,MAX(J13-J17-607.20,0)*0.075-182.16,IF(MAX(J13-J17-607.20,0)&lt;=3751.05,MAX(J13-J17-607.20,0)*0.15-394.16,IF(MAX(J13-J17-607.20,0)&lt;=4664.68,MAX(J13-J17-607.20,0)*0.225-675.49,MAX(J13-J17-607.20,0)*0.275-908.73))))-IF(J13&lt;=5000,IF(MAX(J13-J17-607.20,0)&lt;=2428.80,0,IF(MAX(J13-J17-607.20,0)&lt;=2826.65,MAX(J13-J17-607.20,0)*0.075-182.16,IF(MAX(J13-J17-607.20,0)&lt;=3751.05,MAX(J13-J17-607.20,0)*0.15-394.16,IF(MAX(J13-J17-607.20,0)&lt;=4664.68,MAX(J13-J17-607.20,0)*0.225-675.49,MAX(J13-J17-607.20,0)*0.275-908.73)))),IF(J13&lt;=7350,MAX(978.62-0.133145*J13,0),0)),0),2))</f>
        <v/>
      </c>
      <c r="K18" s="8">
        <f>IF(K13=0,0,ROUND(MAX(IF(MAX(K13-K17-607.20,0)&lt;=2428.80,0,IF(MAX(K13-K17-607.20,0)&lt;=2826.65,MAX(K13-K17-607.20,0)*0.075-182.16,IF(MAX(K13-K17-607.20,0)&lt;=3751.05,MAX(K13-K17-607.20,0)*0.15-394.16,IF(MAX(K13-K17-607.20,0)&lt;=4664.68,MAX(K13-K17-607.20,0)*0.225-675.49,MAX(K13-K17-607.20,0)*0.275-908.73))))-IF(K13&lt;=5000,IF(MAX(K13-K17-607.20,0)&lt;=2428.80,0,IF(MAX(K13-K17-607.20,0)&lt;=2826.65,MAX(K13-K17-607.20,0)*0.075-182.16,IF(MAX(K13-K17-607.20,0)&lt;=3751.05,MAX(K13-K17-607.20,0)*0.15-394.16,IF(MAX(K13-K17-607.20,0)&lt;=4664.68,MAX(K13-K17-607.20,0)*0.225-675.49,MAX(K13-K17-607.20,0)*0.275-908.73)))),IF(K13&lt;=7350,MAX(978.62-0.133145*K13,0),0)),0),2))</f>
        <v/>
      </c>
      <c r="L18" s="8">
        <f>IF(L13=0,0,ROUND(MAX(IF(MAX(L13-L17-607.20,0)&lt;=2428.80,0,IF(MAX(L13-L17-607.20,0)&lt;=2826.65,MAX(L13-L17-607.20,0)*0.075-182.16,IF(MAX(L13-L17-607.20,0)&lt;=3751.05,MAX(L13-L17-607.20,0)*0.15-394.16,IF(MAX(L13-L17-607.20,0)&lt;=4664.68,MAX(L13-L17-607.20,0)*0.225-675.49,MAX(L13-L17-607.20,0)*0.275-908.73))))-IF(L13&lt;=5000,IF(MAX(L13-L17-607.20,0)&lt;=2428.80,0,IF(MAX(L13-L17-607.20,0)&lt;=2826.65,MAX(L13-L17-607.20,0)*0.075-182.16,IF(MAX(L13-L17-607.20,0)&lt;=3751.05,MAX(L13-L17-607.20,0)*0.15-394.16,IF(MAX(L13-L17-607.20,0)&lt;=4664.68,MAX(L13-L17-607.20,0)*0.225-675.49,MAX(L13-L17-607.20,0)*0.275-908.73)))),IF(L13&lt;=7350,MAX(978.62-0.133145*L13,0),0)),0),2))</f>
        <v/>
      </c>
      <c r="M18" s="8">
        <f>IF(M13=0,0,ROUND(MAX(IF(MAX(M13-M17-607.20,0)&lt;=2428.80,0,IF(MAX(M13-M17-607.20,0)&lt;=2826.65,MAX(M13-M17-607.20,0)*0.075-182.16,IF(MAX(M13-M17-607.20,0)&lt;=3751.05,MAX(M13-M17-607.20,0)*0.15-394.16,IF(MAX(M13-M17-607.20,0)&lt;=4664.68,MAX(M13-M17-607.20,0)*0.225-675.49,MAX(M13-M17-607.20,0)*0.275-908.73))))-IF(M13&lt;=5000,IF(MAX(M13-M17-607.20,0)&lt;=2428.80,0,IF(MAX(M13-M17-607.20,0)&lt;=2826.65,MAX(M13-M17-607.20,0)*0.075-182.16,IF(MAX(M13-M17-607.20,0)&lt;=3751.05,MAX(M13-M17-607.20,0)*0.15-394.16,IF(MAX(M13-M17-607.20,0)&lt;=4664.68,MAX(M13-M17-607.20,0)*0.225-675.49,MAX(M13-M17-607.20,0)*0.275-908.73)))),IF(M13&lt;=7350,MAX(978.62-0.133145*M13,0),0)),0),2))</f>
        <v/>
      </c>
      <c r="N18" s="8">
        <f>IF(N13=0,0,ROUND(MAX(IF(MAX(N13-N17-607.20,0)&lt;=2428.80,0,IF(MAX(N13-N17-607.20,0)&lt;=2826.65,MAX(N13-N17-607.20,0)*0.075-182.16,IF(MAX(N13-N17-607.20,0)&lt;=3751.05,MAX(N13-N17-607.20,0)*0.15-394.16,IF(MAX(N13-N17-607.20,0)&lt;=4664.68,MAX(N13-N17-607.20,0)*0.225-675.49,MAX(N13-N17-607.20,0)*0.275-908.73))))-IF(N13&lt;=5000,IF(MAX(N13-N17-607.20,0)&lt;=2428.80,0,IF(MAX(N13-N17-607.20,0)&lt;=2826.65,MAX(N13-N17-607.20,0)*0.075-182.16,IF(MAX(N13-N17-607.20,0)&lt;=3751.05,MAX(N13-N17-607.20,0)*0.15-394.16,IF(MAX(N13-N17-607.20,0)&lt;=4664.68,MAX(N13-N17-607.20,0)*0.225-675.49,MAX(N13-N17-607.20,0)*0.275-908.73)))),IF(N13&lt;=7350,MAX(978.62-0.133145*N13,0),0)),0),2))</f>
        <v/>
      </c>
      <c r="O18" s="8">
        <f>SUM(C18:N18)</f>
        <v/>
      </c>
    </row>
    <row r="19">
      <c r="B19" s="15" t="inlineStr">
        <is>
          <t>Vale-Transporte (6%)</t>
        </is>
      </c>
      <c r="C19" s="4">
        <f>IF(C13=0,0,IF($C$5=1,ROUND(MIN(C13*0.06,$C$6*30),2),0))</f>
        <v/>
      </c>
      <c r="D19" s="4">
        <f>IF(D13=0,0,IF($C$5=1,ROUND(MIN(D13*0.06,$C$6*30),2),0))</f>
        <v/>
      </c>
      <c r="E19" s="4">
        <f>IF(E13=0,0,IF($C$5=1,ROUND(MIN(E13*0.06,$C$6*30),2),0))</f>
        <v/>
      </c>
      <c r="F19" s="4">
        <f>IF(F13=0,0,IF($C$5=1,ROUND(MIN(F13*0.06,$C$6*30),2),0))</f>
        <v/>
      </c>
      <c r="G19" s="4">
        <f>IF(G13=0,0,IF($C$5=1,ROUND(MIN(G13*0.06,$C$6*30),2),0))</f>
        <v/>
      </c>
      <c r="H19" s="4">
        <f>IF(H13=0,0,IF($C$5=1,ROUND(MIN(H13*0.06,$C$6*30),2),0))</f>
        <v/>
      </c>
      <c r="I19" s="4">
        <f>IF(I13=0,0,IF($C$5=1,ROUND(MIN(I13*0.06,$C$6*30),2),0))</f>
        <v/>
      </c>
      <c r="J19" s="4">
        <f>IF(J13=0,0,IF($C$5=1,ROUND(MIN(J13*0.06,$C$6*30),2),0))</f>
        <v/>
      </c>
      <c r="K19" s="4">
        <f>IF(K13=0,0,IF($C$5=1,ROUND(MIN(K13*0.06,$C$6*30),2),0))</f>
        <v/>
      </c>
      <c r="L19" s="4">
        <f>IF(L13=0,0,IF($C$5=1,ROUND(MIN(L13*0.06,$C$6*30),2),0))</f>
        <v/>
      </c>
      <c r="M19" s="4">
        <f>IF(M13=0,0,IF($C$5=1,ROUND(MIN(M13*0.06,$C$6*30),2),0))</f>
        <v/>
      </c>
      <c r="N19" s="4">
        <f>IF(N13=0,0,IF($C$5=1,ROUND(MIN(N13*0.06,$C$6*30),2),0))</f>
        <v/>
      </c>
      <c r="O19" s="8">
        <f>SUM(C19:N19)</f>
        <v/>
      </c>
    </row>
    <row r="20">
      <c r="B20" s="33" t="inlineStr">
        <is>
          <t>Total Descontos</t>
        </is>
      </c>
      <c r="C20" s="34">
        <f>ROUND(C17+C18+C19,2)</f>
        <v/>
      </c>
      <c r="D20" s="34">
        <f>ROUND(D17+D18+D19,2)</f>
        <v/>
      </c>
      <c r="E20" s="34">
        <f>ROUND(E17+E18+E19,2)</f>
        <v/>
      </c>
      <c r="F20" s="34">
        <f>ROUND(F17+F18+F19,2)</f>
        <v/>
      </c>
      <c r="G20" s="34">
        <f>ROUND(G17+G18+G19,2)</f>
        <v/>
      </c>
      <c r="H20" s="34">
        <f>ROUND(H17+H18+H19,2)</f>
        <v/>
      </c>
      <c r="I20" s="34">
        <f>ROUND(I17+I18+I19,2)</f>
        <v/>
      </c>
      <c r="J20" s="34">
        <f>ROUND(J17+J18+J19,2)</f>
        <v/>
      </c>
      <c r="K20" s="34">
        <f>ROUND(K17+K18+K19,2)</f>
        <v/>
      </c>
      <c r="L20" s="34">
        <f>ROUND(L17+L18+L19,2)</f>
        <v/>
      </c>
      <c r="M20" s="34">
        <f>ROUND(M17+M18+M19,2)</f>
        <v/>
      </c>
      <c r="N20" s="34">
        <f>ROUND(N17+N18+N19,2)</f>
        <v/>
      </c>
      <c r="O20" s="34">
        <f>SUM(C20:N20)</f>
        <v/>
      </c>
    </row>
    <row r="22">
      <c r="B22" s="12" t="inlineStr">
        <is>
          <t>CHEQUE CONTRA ENTREGA</t>
        </is>
      </c>
      <c r="C22" s="34">
        <f>ROUND(C13-C20,2)</f>
        <v/>
      </c>
      <c r="D22" s="34">
        <f>ROUND(D13-D20,2)</f>
        <v/>
      </c>
      <c r="E22" s="34">
        <f>ROUND(E13-E20,2)</f>
        <v/>
      </c>
      <c r="F22" s="34">
        <f>ROUND(F13-F20,2)</f>
        <v/>
      </c>
      <c r="G22" s="34">
        <f>ROUND(G13-G20,2)</f>
        <v/>
      </c>
      <c r="H22" s="34">
        <f>ROUND(H13-H20,2)</f>
        <v/>
      </c>
      <c r="I22" s="34">
        <f>ROUND(I13-I20,2)</f>
        <v/>
      </c>
      <c r="J22" s="34">
        <f>ROUND(J13-J20,2)</f>
        <v/>
      </c>
      <c r="K22" s="34">
        <f>ROUND(K13-K20,2)</f>
        <v/>
      </c>
      <c r="L22" s="34">
        <f>ROUND(L13-L20,2)</f>
        <v/>
      </c>
      <c r="M22" s="34">
        <f>ROUND(M13-M20,2)</f>
        <v/>
      </c>
      <c r="N22" s="34">
        <f>ROUND(N13-N20,2)</f>
        <v/>
      </c>
      <c r="O22" s="35">
        <f>SUM(C22:N22)</f>
        <v/>
      </c>
    </row>
    <row r="24">
      <c r="B24" s="31" t="inlineStr">
        <is>
          <t>DAE — COMPOSIÇÃO</t>
        </is>
      </c>
      <c r="C24" s="32" t="inlineStr"/>
      <c r="D24" s="32" t="inlineStr"/>
      <c r="E24" s="32" t="inlineStr"/>
      <c r="F24" s="32" t="inlineStr"/>
      <c r="G24" s="32" t="inlineStr"/>
      <c r="H24" s="32" t="inlineStr"/>
      <c r="I24" s="32" t="inlineStr"/>
      <c r="J24" s="32" t="inlineStr"/>
      <c r="K24" s="32" t="inlineStr"/>
      <c r="L24" s="32" t="inlineStr"/>
      <c r="M24" s="32" t="inlineStr"/>
      <c r="N24" s="32" t="inlineStr"/>
      <c r="O24" s="32" t="inlineStr"/>
    </row>
    <row r="25">
      <c r="B25" s="15" t="inlineStr">
        <is>
          <t>INSS Patronal (8%)</t>
        </is>
      </c>
      <c r="C25" s="4">
        <f>ROUND(C12*0.08,2)</f>
        <v/>
      </c>
      <c r="D25" s="4">
        <f>ROUND(D12*0.08,2)</f>
        <v/>
      </c>
      <c r="E25" s="4">
        <f>ROUND(E12*0.08,2)</f>
        <v/>
      </c>
      <c r="F25" s="4">
        <f>ROUND(F12*0.08,2)</f>
        <v/>
      </c>
      <c r="G25" s="4">
        <f>ROUND(G12*0.08,2)</f>
        <v/>
      </c>
      <c r="H25" s="4">
        <f>ROUND(H12*0.08,2)</f>
        <v/>
      </c>
      <c r="I25" s="4">
        <f>ROUND(I12*0.08,2)</f>
        <v/>
      </c>
      <c r="J25" s="4">
        <f>ROUND(J12*0.08,2)</f>
        <v/>
      </c>
      <c r="K25" s="4">
        <f>ROUND(K12*0.08,2)</f>
        <v/>
      </c>
      <c r="L25" s="4">
        <f>ROUND(L12*0.08,2)</f>
        <v/>
      </c>
      <c r="M25" s="4">
        <f>ROUND(M12*0.08,2)</f>
        <v/>
      </c>
      <c r="N25" s="4">
        <f>ROUND(N12*0.08,2)</f>
        <v/>
      </c>
      <c r="O25" s="8">
        <f>SUM(C25:N25)</f>
        <v/>
      </c>
    </row>
    <row r="26">
      <c r="B26" s="15" t="inlineStr">
        <is>
          <t>FGTS (8%)</t>
        </is>
      </c>
      <c r="C26" s="8">
        <f>ROUND(C12*0.08,2)</f>
        <v/>
      </c>
      <c r="D26" s="8">
        <f>ROUND(D12*0.08,2)</f>
        <v/>
      </c>
      <c r="E26" s="8">
        <f>ROUND(E12*0.08,2)</f>
        <v/>
      </c>
      <c r="F26" s="8">
        <f>ROUND(F12*0.08,2)</f>
        <v/>
      </c>
      <c r="G26" s="8">
        <f>ROUND(G12*0.08,2)</f>
        <v/>
      </c>
      <c r="H26" s="8">
        <f>ROUND(H12*0.08,2)</f>
        <v/>
      </c>
      <c r="I26" s="8">
        <f>ROUND(I12*0.08,2)</f>
        <v/>
      </c>
      <c r="J26" s="8">
        <f>ROUND(J12*0.08,2)</f>
        <v/>
      </c>
      <c r="K26" s="8">
        <f>ROUND(K12*0.08,2)</f>
        <v/>
      </c>
      <c r="L26" s="8">
        <f>ROUND(L12*0.08,2)</f>
        <v/>
      </c>
      <c r="M26" s="8">
        <f>ROUND(M12*0.08,2)</f>
        <v/>
      </c>
      <c r="N26" s="8">
        <f>ROUND(N12*0.08,2)</f>
        <v/>
      </c>
      <c r="O26" s="8">
        <f>SUM(C26:N26)</f>
        <v/>
      </c>
    </row>
    <row r="27">
      <c r="B27" s="15" t="inlineStr">
        <is>
          <t>FGTS Compensatório (3.2%)</t>
        </is>
      </c>
      <c r="C27" s="4">
        <f>ROUND(C12*0.032,2)</f>
        <v/>
      </c>
      <c r="D27" s="4">
        <f>ROUND(D12*0.032,2)</f>
        <v/>
      </c>
      <c r="E27" s="4">
        <f>ROUND(E12*0.032,2)</f>
        <v/>
      </c>
      <c r="F27" s="4">
        <f>ROUND(F12*0.032,2)</f>
        <v/>
      </c>
      <c r="G27" s="4">
        <f>ROUND(G12*0.032,2)</f>
        <v/>
      </c>
      <c r="H27" s="4">
        <f>ROUND(H12*0.032,2)</f>
        <v/>
      </c>
      <c r="I27" s="4">
        <f>ROUND(I12*0.032,2)</f>
        <v/>
      </c>
      <c r="J27" s="4">
        <f>ROUND(J12*0.032,2)</f>
        <v/>
      </c>
      <c r="K27" s="4">
        <f>ROUND(K12*0.032,2)</f>
        <v/>
      </c>
      <c r="L27" s="4">
        <f>ROUND(L12*0.032,2)</f>
        <v/>
      </c>
      <c r="M27" s="4">
        <f>ROUND(M12*0.032,2)</f>
        <v/>
      </c>
      <c r="N27" s="4">
        <f>ROUND(N12*0.032,2)</f>
        <v/>
      </c>
      <c r="O27" s="8">
        <f>SUM(C27:N27)</f>
        <v/>
      </c>
    </row>
    <row r="28">
      <c r="B28" s="15" t="inlineStr">
        <is>
          <t>Seguro Acidente (0.8%)</t>
        </is>
      </c>
      <c r="C28" s="8">
        <f>ROUND(C12*0.008,2)</f>
        <v/>
      </c>
      <c r="D28" s="8">
        <f>ROUND(D12*0.008,2)</f>
        <v/>
      </c>
      <c r="E28" s="8">
        <f>ROUND(E12*0.008,2)</f>
        <v/>
      </c>
      <c r="F28" s="8">
        <f>ROUND(F12*0.008,2)</f>
        <v/>
      </c>
      <c r="G28" s="8">
        <f>ROUND(G12*0.008,2)</f>
        <v/>
      </c>
      <c r="H28" s="8">
        <f>ROUND(H12*0.008,2)</f>
        <v/>
      </c>
      <c r="I28" s="8">
        <f>ROUND(I12*0.008,2)</f>
        <v/>
      </c>
      <c r="J28" s="8">
        <f>ROUND(J12*0.008,2)</f>
        <v/>
      </c>
      <c r="K28" s="8">
        <f>ROUND(K12*0.008,2)</f>
        <v/>
      </c>
      <c r="L28" s="8">
        <f>ROUND(L12*0.008,2)</f>
        <v/>
      </c>
      <c r="M28" s="8">
        <f>ROUND(M12*0.008,2)</f>
        <v/>
      </c>
      <c r="N28" s="8">
        <f>ROUND(N12*0.008,2)</f>
        <v/>
      </c>
      <c r="O28" s="8">
        <f>SUM(C28:N28)</f>
        <v/>
      </c>
    </row>
    <row r="29">
      <c r="B29" s="15" t="inlineStr">
        <is>
          <t>INSS Empregado (retido)</t>
        </is>
      </c>
      <c r="C29" s="4">
        <f>C16</f>
        <v/>
      </c>
      <c r="D29" s="4">
        <f>D16</f>
        <v/>
      </c>
      <c r="E29" s="4">
        <f>E16</f>
        <v/>
      </c>
      <c r="F29" s="4">
        <f>F16</f>
        <v/>
      </c>
      <c r="G29" s="4">
        <f>G16</f>
        <v/>
      </c>
      <c r="H29" s="4">
        <f>H16</f>
        <v/>
      </c>
      <c r="I29" s="4">
        <f>I16</f>
        <v/>
      </c>
      <c r="J29" s="4">
        <f>J16</f>
        <v/>
      </c>
      <c r="K29" s="4">
        <f>K16</f>
        <v/>
      </c>
      <c r="L29" s="4">
        <f>L16</f>
        <v/>
      </c>
      <c r="M29" s="4">
        <f>M16</f>
        <v/>
      </c>
      <c r="N29" s="4">
        <f>N16</f>
        <v/>
      </c>
      <c r="O29" s="8">
        <f>SUM(C29:N29)</f>
        <v/>
      </c>
    </row>
    <row r="30">
      <c r="B30" s="15" t="inlineStr">
        <is>
          <t>IRRF (retido)</t>
        </is>
      </c>
      <c r="C30" s="8">
        <f>C17</f>
        <v/>
      </c>
      <c r="D30" s="8">
        <f>D17</f>
        <v/>
      </c>
      <c r="E30" s="8">
        <f>E17</f>
        <v/>
      </c>
      <c r="F30" s="8">
        <f>F17</f>
        <v/>
      </c>
      <c r="G30" s="8">
        <f>G17</f>
        <v/>
      </c>
      <c r="H30" s="8">
        <f>H17</f>
        <v/>
      </c>
      <c r="I30" s="8">
        <f>I17</f>
        <v/>
      </c>
      <c r="J30" s="8">
        <f>J17</f>
        <v/>
      </c>
      <c r="K30" s="8">
        <f>K17</f>
        <v/>
      </c>
      <c r="L30" s="8">
        <f>L17</f>
        <v/>
      </c>
      <c r="M30" s="8">
        <f>M17</f>
        <v/>
      </c>
      <c r="N30" s="8">
        <f>N17</f>
        <v/>
      </c>
      <c r="O30" s="8">
        <f>SUM(C30:N30)</f>
        <v/>
      </c>
    </row>
    <row r="31">
      <c r="B31" s="15" t="inlineStr">
        <is>
          <t>(-) Salário-Família</t>
        </is>
      </c>
      <c r="C31" s="4">
        <f>C12</f>
        <v/>
      </c>
      <c r="D31" s="4">
        <f>D12</f>
        <v/>
      </c>
      <c r="E31" s="4">
        <f>E12</f>
        <v/>
      </c>
      <c r="F31" s="4">
        <f>F12</f>
        <v/>
      </c>
      <c r="G31" s="4">
        <f>G12</f>
        <v/>
      </c>
      <c r="H31" s="4">
        <f>H12</f>
        <v/>
      </c>
      <c r="I31" s="4">
        <f>I12</f>
        <v/>
      </c>
      <c r="J31" s="4">
        <f>J12</f>
        <v/>
      </c>
      <c r="K31" s="4">
        <f>K12</f>
        <v/>
      </c>
      <c r="L31" s="4">
        <f>L12</f>
        <v/>
      </c>
      <c r="M31" s="4">
        <f>M12</f>
        <v/>
      </c>
      <c r="N31" s="4">
        <f>N12</f>
        <v/>
      </c>
      <c r="O31" s="8">
        <f>SUM(C31:N31)</f>
        <v/>
      </c>
    </row>
    <row r="32">
      <c r="B32" s="12" t="inlineStr">
        <is>
          <t>DAE TOTAL A PAGAR</t>
        </is>
      </c>
      <c r="C32" s="34">
        <f>ROUND(C25+C26+C27+C28+C29+C30-C31,2)</f>
        <v/>
      </c>
      <c r="D32" s="34">
        <f>ROUND(D25+D26+D27+D28+D29+D30-D31,2)</f>
        <v/>
      </c>
      <c r="E32" s="34">
        <f>ROUND(E25+E26+E27+E28+E29+E30-E31,2)</f>
        <v/>
      </c>
      <c r="F32" s="34">
        <f>ROUND(F25+F26+F27+F28+F29+F30-F31,2)</f>
        <v/>
      </c>
      <c r="G32" s="34">
        <f>ROUND(G25+G26+G27+G28+G29+G30-G31,2)</f>
        <v/>
      </c>
      <c r="H32" s="34">
        <f>ROUND(H25+H26+H27+H28+H29+H30-H31,2)</f>
        <v/>
      </c>
      <c r="I32" s="34">
        <f>ROUND(I25+I26+I27+I28+I29+I30-I31,2)</f>
        <v/>
      </c>
      <c r="J32" s="34">
        <f>ROUND(J25+J26+J27+J28+J29+J30-J31,2)</f>
        <v/>
      </c>
      <c r="K32" s="34">
        <f>ROUND(K25+K26+K27+K28+K29+K30-K31,2)</f>
        <v/>
      </c>
      <c r="L32" s="34">
        <f>ROUND(L25+L26+L27+L28+L29+L30-L31,2)</f>
        <v/>
      </c>
      <c r="M32" s="34">
        <f>ROUND(M25+M26+M27+M28+M29+M30-M31,2)</f>
        <v/>
      </c>
      <c r="N32" s="34">
        <f>ROUND(N25+N26+N27+N28+N29+N30-N31,2)</f>
        <v/>
      </c>
      <c r="O32" s="35">
        <f>SUM(C32:N32)</f>
        <v/>
      </c>
    </row>
    <row r="34">
      <c r="B34" s="31" t="inlineStr">
        <is>
          <t>CUSTO TOTAL EMPREGADOR</t>
        </is>
      </c>
      <c r="C34" s="32" t="inlineStr"/>
      <c r="D34" s="32" t="inlineStr"/>
      <c r="E34" s="32" t="inlineStr"/>
      <c r="F34" s="32" t="inlineStr"/>
      <c r="G34" s="32" t="inlineStr"/>
      <c r="H34" s="32" t="inlineStr"/>
      <c r="I34" s="32" t="inlineStr"/>
      <c r="J34" s="32" t="inlineStr"/>
      <c r="K34" s="32" t="inlineStr"/>
      <c r="L34" s="32" t="inlineStr"/>
      <c r="M34" s="32" t="inlineStr"/>
      <c r="N34" s="32" t="inlineStr"/>
      <c r="O34" s="32" t="inlineStr"/>
    </row>
    <row r="35">
      <c r="B35" s="12" t="inlineStr">
        <is>
          <t>Cheque + DAE + VT Empregador</t>
        </is>
      </c>
      <c r="C35" s="34">
        <f>ROUND(C22+C33+IF($C$5=1,MAX($C$6*30-MIN(C11*0.06,$C$6*30),0),0),2)</f>
        <v/>
      </c>
      <c r="D35" s="34">
        <f>ROUND(D22+D33+IF($C$5=1,MAX($C$6*30-MIN(D11*0.06,$C$6*30),0),0),2)</f>
        <v/>
      </c>
      <c r="E35" s="34">
        <f>ROUND(E22+E33+IF($C$5=1,MAX($C$6*30-MIN(E11*0.06,$C$6*30),0),0),2)</f>
        <v/>
      </c>
      <c r="F35" s="34">
        <f>ROUND(F22+F33+IF($C$5=1,MAX($C$6*30-MIN(F11*0.06,$C$6*30),0),0),2)</f>
        <v/>
      </c>
      <c r="G35" s="34">
        <f>ROUND(G22+G33+IF($C$5=1,MAX($C$6*30-MIN(G11*0.06,$C$6*30),0),0),2)</f>
        <v/>
      </c>
      <c r="H35" s="34">
        <f>ROUND(H22+H33+IF($C$5=1,MAX($C$6*30-MIN(H11*0.06,$C$6*30),0),0),2)</f>
        <v/>
      </c>
      <c r="I35" s="34">
        <f>ROUND(I22+I33+IF($C$5=1,MAX($C$6*30-MIN(I11*0.06,$C$6*30),0),0),2)</f>
        <v/>
      </c>
      <c r="J35" s="34">
        <f>ROUND(J22+J33+IF($C$5=1,MAX($C$6*30-MIN(J11*0.06,$C$6*30),0),0),2)</f>
        <v/>
      </c>
      <c r="K35" s="34">
        <f>ROUND(K22+K33+IF($C$5=1,MAX($C$6*30-MIN(K11*0.06,$C$6*30),0),0),2)</f>
        <v/>
      </c>
      <c r="L35" s="34">
        <f>ROUND(L22+L33+IF($C$5=1,MAX($C$6*30-MIN(L11*0.06,$C$6*30),0),0),2)</f>
        <v/>
      </c>
      <c r="M35" s="34">
        <f>ROUND(M22+M33+IF($C$5=1,MAX($C$6*30-MIN(M11*0.06,$C$6*30),0),0),2)</f>
        <v/>
      </c>
      <c r="N35" s="34">
        <f>ROUND(N22+N33+IF($C$5=1,MAX($C$6*30-MIN(N11*0.06,$C$6*30),0),0),2)</f>
        <v/>
      </c>
      <c r="O35" s="35">
        <f>SUM(C35:N35)</f>
        <v/>
      </c>
    </row>
  </sheetData>
  <mergeCells count="2">
    <mergeCell ref="B1:N1"/>
    <mergeCell ref="B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B1:F3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3" customWidth="1" min="4" max="4"/>
    <col width="40" customWidth="1" min="5" max="5"/>
    <col width="20" customWidth="1" min="6" max="6"/>
  </cols>
  <sheetData>
    <row r="1">
      <c r="B1" s="1" t="inlineStr">
        <is>
          <t>CALCULADORA 13° SALÁRIO — EMPREGADO DOMÉSTICO 2026</t>
        </is>
      </c>
      <c r="C1" s="1" t="n"/>
      <c r="D1" s="1" t="n"/>
      <c r="E1" s="1" t="n"/>
      <c r="F1" s="1" t="n"/>
    </row>
    <row r="3">
      <c r="B3" s="2" t="inlineStr">
        <is>
          <t>INPUTS</t>
        </is>
      </c>
      <c r="C3" s="2" t="n"/>
    </row>
    <row r="4">
      <c r="B4" s="15" t="inlineStr">
        <is>
          <t>Salário Bruto Mensal (R$)</t>
        </is>
      </c>
      <c r="C4" s="16" t="n">
        <v>1621</v>
      </c>
    </row>
    <row r="5">
      <c r="B5" s="15" t="inlineStr">
        <is>
          <t>Avos Trabalhados (1-12)</t>
        </is>
      </c>
      <c r="C5" s="20" t="n">
        <v>12</v>
      </c>
    </row>
    <row r="6">
      <c r="B6" s="15" t="inlineStr">
        <is>
          <t>Média Mensal de Horas Extras (R$)</t>
        </is>
      </c>
      <c r="C6" s="16" t="n">
        <v>0</v>
      </c>
    </row>
    <row r="7">
      <c r="B7" s="15" t="inlineStr">
        <is>
          <t>Média Adicional Noturno Mensal (R$)</t>
        </is>
      </c>
      <c r="C7" s="16" t="n">
        <v>0</v>
      </c>
    </row>
    <row r="9">
      <c r="B9" s="2" t="inlineStr">
        <is>
          <t>1ª PARCELA (até 30/Nov) — Sem descontos</t>
        </is>
      </c>
      <c r="C9" s="2" t="n"/>
    </row>
    <row r="10">
      <c r="B10" s="15" t="inlineStr">
        <is>
          <t>Base 13° = (Salário + Médias) × Avos/12</t>
        </is>
      </c>
      <c r="C10" s="4">
        <f>ROUND((C4+C6+C7)*C5/12,2)</f>
        <v/>
      </c>
    </row>
    <row r="11">
      <c r="B11" s="15" t="inlineStr">
        <is>
          <t>1ª Parcela = 50% da Base</t>
        </is>
      </c>
      <c r="C11" s="26">
        <f>ROUND(C10*0.5,2)</f>
        <v/>
      </c>
    </row>
    <row r="12">
      <c r="B12" s="15" t="inlineStr">
        <is>
          <t>FGTS sobre 1ª Parcela (8%)</t>
        </is>
      </c>
      <c r="C12" s="4">
        <f>ROUND(C11*0.08,2)</f>
        <v/>
      </c>
    </row>
    <row r="13">
      <c r="B13" s="15" t="inlineStr">
        <is>
          <t>FGTS Compensatório 1ª Parcela (3.2%)</t>
        </is>
      </c>
      <c r="C13" s="4">
        <f>ROUND(C11*0.032,2)</f>
        <v/>
      </c>
    </row>
    <row r="15">
      <c r="B15" s="2" t="inlineStr">
        <is>
          <t>2ª PARCELA (até 20/Dez) — Com descontos</t>
        </is>
      </c>
      <c r="C15" s="2" t="n"/>
    </row>
    <row r="16">
      <c r="B16" s="15" t="inlineStr">
        <is>
          <t>2ª Parcela Bruta = Base - 1ª Parcela</t>
        </is>
      </c>
      <c r="C16" s="4">
        <f>ROUND(C10-C11,2)</f>
        <v/>
      </c>
    </row>
    <row r="17">
      <c r="B17" s="15" t="inlineStr">
        <is>
          <t>INSS sobre 13° TOTAL (progressivo)</t>
        </is>
      </c>
      <c r="C17" s="4">
        <f>ROUND(IF(C10&lt;=1621,C10*0.075,IF(C10&lt;=2902.84,C10*0.09-24.32,IF(C10&lt;=4354.27,C10*0.12-111.40,IF(C10&lt;=8475.55,C10*0.14-198.49,8475.55*0.14-198.49)))),2)</f>
        <v/>
      </c>
    </row>
    <row r="18">
      <c r="B18" s="15" t="inlineStr">
        <is>
          <t>Base IRRF 13° = Base - INSS - 607.20</t>
        </is>
      </c>
      <c r="C18" s="4">
        <f>MAX(ROUND(C10-C17-607.20,2),0)</f>
        <v/>
      </c>
    </row>
    <row r="19">
      <c r="B19" s="15" t="inlineStr">
        <is>
          <t>IRRF Bruto sobre 13°</t>
        </is>
      </c>
      <c r="C19" s="4">
        <f>ROUND(IF(C18&lt;=2428.80,0,IF(C18&lt;=2826.65,C18*0.075-182.16,IF(C18&lt;=3751.05,C18*0.15-394.16,IF(C18&lt;=4664.68,C18*0.225-675.49,C18*0.275-908.73)))),2)</f>
        <v/>
      </c>
    </row>
    <row r="20">
      <c r="B20" s="15" t="inlineStr">
        <is>
          <t>Redutor Lei 15.270 (se aplicável)</t>
        </is>
      </c>
      <c r="C20" s="4">
        <f>ROUND(IF(C4&lt;=5000,C19,IF(C4&lt;=7350,MAX(978.62-0.133145*C4,0),0)),2)</f>
        <v/>
      </c>
    </row>
    <row r="21">
      <c r="B21" s="15" t="inlineStr">
        <is>
          <t>IRRF Final sobre 13°</t>
        </is>
      </c>
      <c r="C21" s="4">
        <f>MAX(ROUND(C19-C20,2),0)</f>
        <v/>
      </c>
    </row>
    <row r="22">
      <c r="B22" s="15" t="inlineStr">
        <is>
          <t>2ª Parcela Líquida a Pagar</t>
        </is>
      </c>
      <c r="C22" s="26">
        <f>ROUND(C16-C17-C21,2)</f>
        <v/>
      </c>
    </row>
    <row r="24">
      <c r="B24" s="2" t="inlineStr">
        <is>
          <t>RESUMO 13° SALÁRIO</t>
        </is>
      </c>
      <c r="C24" s="2" t="n"/>
      <c r="E24" s="2" t="inlineStr">
        <is>
          <t>DAE DO 13° SALÁRIO</t>
        </is>
      </c>
      <c r="F24" s="2" t="n"/>
    </row>
    <row r="25">
      <c r="B25" s="15" t="inlineStr">
        <is>
          <t>Cheque 1ª Parcela (Nov)</t>
        </is>
      </c>
      <c r="C25" s="26">
        <f>C11</f>
        <v/>
      </c>
      <c r="E25" s="15" t="inlineStr">
        <is>
          <t>INSS Patronal (8%) sobre Base 13°</t>
        </is>
      </c>
      <c r="F25" s="4">
        <f>ROUND(C10*0.08,2)</f>
        <v/>
      </c>
    </row>
    <row r="26">
      <c r="B26" s="15" t="inlineStr">
        <is>
          <t>Cheque 2ª Parcela (Dez)</t>
        </is>
      </c>
      <c r="C26" s="26">
        <f>C22</f>
        <v/>
      </c>
      <c r="E26" s="15" t="inlineStr">
        <is>
          <t>FGTS (8%) sobre 2ª Parcela</t>
        </is>
      </c>
      <c r="F26" s="4">
        <f>ROUND(C16*0.08,2)</f>
        <v/>
      </c>
    </row>
    <row r="27">
      <c r="B27" s="15" t="inlineStr">
        <is>
          <t>Total Cheques 13°</t>
        </is>
      </c>
      <c r="C27" s="26">
        <f>ROUND(C25+C26,2)</f>
        <v/>
      </c>
      <c r="E27" s="15" t="inlineStr">
        <is>
          <t>FGTS Compensatório (3.2%) 2ª Parcela</t>
        </is>
      </c>
      <c r="F27" s="4">
        <f>ROUND(C16*0.032,2)</f>
        <v/>
      </c>
    </row>
    <row r="28">
      <c r="B28" s="15" t="inlineStr">
        <is>
          <t>DAE 1ª Parcela (FGTS apenas)</t>
        </is>
      </c>
      <c r="C28" s="4">
        <f>ROUND(C12+C13,2)</f>
        <v/>
      </c>
      <c r="E28" s="15" t="inlineStr">
        <is>
          <t>SAT (0.8%) sobre Base 13°</t>
        </is>
      </c>
      <c r="F28" s="4">
        <f>ROUND(C10*0.008,2)</f>
        <v/>
      </c>
    </row>
    <row r="29">
      <c r="B29" s="15" t="inlineStr">
        <is>
          <t>DAE 2ª Parcela</t>
        </is>
      </c>
      <c r="C29" s="4">
        <f>F33</f>
        <v/>
      </c>
      <c r="E29" s="15" t="inlineStr">
        <is>
          <t>INSS Empregado (retido)</t>
        </is>
      </c>
      <c r="F29" s="4">
        <f>C17</f>
        <v/>
      </c>
    </row>
    <row r="30">
      <c r="B30" s="15" t="inlineStr">
        <is>
          <t>Custo Total 13° (empregador)</t>
        </is>
      </c>
      <c r="C30" s="25">
        <f>ROUND(C27+C28+C29,2)</f>
        <v/>
      </c>
      <c r="E30" s="15" t="inlineStr">
        <is>
          <t>IRRF (retido)</t>
        </is>
      </c>
      <c r="F30" s="4">
        <f>C21</f>
        <v/>
      </c>
    </row>
    <row r="32">
      <c r="E32" s="24" t="inlineStr">
        <is>
          <t>DAE 13° TOTAL</t>
        </is>
      </c>
      <c r="F32" s="24" t="n"/>
    </row>
    <row r="33">
      <c r="E33" s="15" t="inlineStr">
        <is>
          <t>DAE 13° a Pagar</t>
        </is>
      </c>
      <c r="F33" s="25">
        <f>ROUND(F25+F26+F27+F28+F29+F30,2)</f>
        <v/>
      </c>
    </row>
  </sheetData>
  <mergeCells count="7">
    <mergeCell ref="B24:C24"/>
    <mergeCell ref="B15:C15"/>
    <mergeCell ref="E32:F32"/>
    <mergeCell ref="E24:F24"/>
    <mergeCell ref="B3:C3"/>
    <mergeCell ref="B1:F1"/>
    <mergeCell ref="B9:C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980B9"/>
    <outlinePr summaryBelow="1" summaryRight="1"/>
    <pageSetUpPr/>
  </sheetPr>
  <dimension ref="B1:F3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0" customWidth="1" min="3" max="3"/>
    <col width="3" customWidth="1" min="4" max="4"/>
    <col width="42" customWidth="1" min="5" max="5"/>
    <col width="20" customWidth="1" min="6" max="6"/>
  </cols>
  <sheetData>
    <row r="1">
      <c r="B1" s="1" t="inlineStr">
        <is>
          <t>CALCULADORA DE FÉRIAS — EMPREGADO DOMÉSTICO 2026</t>
        </is>
      </c>
      <c r="C1" s="1" t="n"/>
      <c r="D1" s="1" t="n"/>
      <c r="E1" s="1" t="n"/>
      <c r="F1" s="1" t="n"/>
    </row>
    <row r="3">
      <c r="B3" s="2" t="inlineStr">
        <is>
          <t>INPUTS</t>
        </is>
      </c>
      <c r="C3" s="2" t="n"/>
    </row>
    <row r="4">
      <c r="B4" s="15" t="inlineStr">
        <is>
          <t>Salário Bruto Mensal (R$)</t>
        </is>
      </c>
      <c r="C4" s="16" t="n">
        <v>1621</v>
      </c>
    </row>
    <row r="5">
      <c r="B5" s="15" t="inlineStr">
        <is>
          <t>Dias de Férias Gozados</t>
        </is>
      </c>
      <c r="C5" s="20" t="n">
        <v>30</v>
      </c>
    </row>
    <row r="6">
      <c r="B6" s="15" t="inlineStr">
        <is>
          <t>Abono Pecuniário? (1=Sim, 0=Não)</t>
        </is>
      </c>
      <c r="C6" s="20" t="n">
        <v>0</v>
      </c>
    </row>
    <row r="7">
      <c r="B7" s="15" t="inlineStr">
        <is>
          <t>Dias Vendidos (Abono, máx 10)</t>
        </is>
      </c>
      <c r="C7" s="20" t="n">
        <v>0</v>
      </c>
    </row>
    <row r="8">
      <c r="B8" s="15" t="inlineStr">
        <is>
          <t>Férias Vencidas? (1=Sim, dobro)</t>
        </is>
      </c>
      <c r="C8" s="20" t="n">
        <v>0</v>
      </c>
    </row>
    <row r="9">
      <c r="B9" s="15" t="inlineStr">
        <is>
          <t>Média Mensal HE (R$)</t>
        </is>
      </c>
      <c r="C9" s="16" t="n">
        <v>0</v>
      </c>
    </row>
    <row r="10">
      <c r="B10" s="15" t="inlineStr">
        <is>
          <t>Adiantamento 13° junto c/ férias? (1=Sim)</t>
        </is>
      </c>
      <c r="C10" s="20" t="n">
        <v>0</v>
      </c>
    </row>
    <row r="12">
      <c r="B12" s="2" t="inlineStr">
        <is>
          <t>CÁLCULO DAS FÉRIAS</t>
        </is>
      </c>
      <c r="C12" s="2" t="n"/>
      <c r="E12" s="2" t="inlineStr">
        <is>
          <t>DAE DAS FÉRIAS</t>
        </is>
      </c>
      <c r="F12" s="2" t="n"/>
    </row>
    <row r="13">
      <c r="B13" s="15" t="inlineStr">
        <is>
          <t>Salário Base + Médias</t>
        </is>
      </c>
      <c r="C13" s="4">
        <f>C4+C9</f>
        <v/>
      </c>
      <c r="E13" s="15" t="inlineStr">
        <is>
          <t>INSS Patronal (8%) sobre férias</t>
        </is>
      </c>
      <c r="F13" s="4">
        <f>ROUND(C24*0.08,2)</f>
        <v/>
      </c>
    </row>
    <row r="14">
      <c r="B14" s="15" t="inlineStr">
        <is>
          <t>Férias Proporcionais (dias gozados)</t>
        </is>
      </c>
      <c r="C14" s="4">
        <f>ROUND(C13/30*C5,2)</f>
        <v/>
      </c>
      <c r="E14" s="15" t="inlineStr">
        <is>
          <t>FGTS (8%) sobre férias</t>
        </is>
      </c>
      <c r="F14" s="4">
        <f>ROUND(C24*0.08,2)</f>
        <v/>
      </c>
    </row>
    <row r="15">
      <c r="B15" s="15" t="inlineStr">
        <is>
          <t>1/3 Constitucional sobre Férias</t>
        </is>
      </c>
      <c r="C15" s="4">
        <f>ROUND(C14/3,2)</f>
        <v/>
      </c>
      <c r="E15" s="15" t="inlineStr">
        <is>
          <t>FGTS Compensatório (3.2%)</t>
        </is>
      </c>
      <c r="F15" s="4">
        <f>ROUND(C24*0.032,2)</f>
        <v/>
      </c>
    </row>
    <row r="16">
      <c r="B16" s="15" t="inlineStr">
        <is>
          <t>Subtotal Férias (antes dobro)</t>
        </is>
      </c>
      <c r="C16" s="4">
        <f>ROUND(C14+C15,2)</f>
        <v/>
      </c>
      <c r="E16" s="15" t="inlineStr">
        <is>
          <t>SAT (0.8%)</t>
        </is>
      </c>
      <c r="F16" s="4">
        <f>ROUND(C24*0.008,2)</f>
        <v/>
      </c>
    </row>
    <row r="17">
      <c r="B17" s="15" t="inlineStr">
        <is>
          <t>Dobro por Férias Vencidas</t>
        </is>
      </c>
      <c r="C17" s="4">
        <f>IF(C8=1,C16,0)</f>
        <v/>
      </c>
      <c r="E17" s="15" t="inlineStr">
        <is>
          <t>INSS Empregado (retido)</t>
        </is>
      </c>
      <c r="F17" s="4">
        <f>C25</f>
        <v/>
      </c>
    </row>
    <row r="18">
      <c r="B18" s="15" t="inlineStr">
        <is>
          <t>Abono Pecuniário (dias vendidos)</t>
        </is>
      </c>
      <c r="C18" s="4">
        <f>IF(C6=1,ROUND(C13/30*C7,2),0)</f>
        <v/>
      </c>
      <c r="E18" s="15" t="inlineStr">
        <is>
          <t>IRRF (retido)</t>
        </is>
      </c>
      <c r="F18" s="4">
        <f>C29</f>
        <v/>
      </c>
    </row>
    <row r="19">
      <c r="B19" s="15" t="inlineStr">
        <is>
          <t>1/3 sobre Abono Pecuniário</t>
        </is>
      </c>
      <c r="C19" s="4">
        <f>ROUND(C18/3,2)</f>
        <v/>
      </c>
    </row>
    <row r="20">
      <c r="B20" s="15" t="inlineStr">
        <is>
          <t>Adiantamento 13° (50%)</t>
        </is>
      </c>
      <c r="C20" s="4">
        <f>IF(C10=1,ROUND(C4*0.5,2),0)</f>
        <v/>
      </c>
      <c r="E20" s="24" t="inlineStr">
        <is>
          <t>DAE FÉRIAS TOTAL</t>
        </is>
      </c>
      <c r="F20" s="24" t="n"/>
    </row>
    <row r="21">
      <c r="B21" s="15" t="inlineStr">
        <is>
          <t>TOTAL BRUTO FÉRIAS</t>
        </is>
      </c>
      <c r="C21" s="26">
        <f>ROUND(C16+C17+C18+C19+C20,2)</f>
        <v/>
      </c>
      <c r="E21" s="15" t="inlineStr">
        <is>
          <t>DAE Férias a Pagar</t>
        </is>
      </c>
      <c r="F21" s="25">
        <f>ROUND(F13+F14+F15+F16+F17+F18,2)</f>
        <v/>
      </c>
    </row>
    <row r="23">
      <c r="B23" s="2" t="inlineStr">
        <is>
          <t>DESCONTOS DAS FÉRIAS</t>
        </is>
      </c>
      <c r="C23" s="2" t="n"/>
    </row>
    <row r="24">
      <c r="B24" s="15" t="inlineStr">
        <is>
          <t>Base INSS Férias (excl. abono pecuniário)</t>
        </is>
      </c>
      <c r="C24" s="4">
        <f>ROUND(C16+C17,2)</f>
        <v/>
      </c>
    </row>
    <row r="25">
      <c r="B25" s="15" t="inlineStr">
        <is>
          <t>INSS sobre Férias (progressivo)</t>
        </is>
      </c>
      <c r="C25" s="4">
        <f>ROUND(IF(C24&lt;=1621,C24*0.075,IF(C24&lt;=2902.84,C24*0.09-24.32,IF(C24&lt;=4354.27,C24*0.12-111.40,IF(C24&lt;=8475.55,C24*0.14-198.49,8475.55*0.14-198.49)))),2)</f>
        <v/>
      </c>
    </row>
    <row r="26">
      <c r="B26" s="15" t="inlineStr">
        <is>
          <t>Base IRRF Férias = Base INSS - INSS - 607.20</t>
        </is>
      </c>
      <c r="C26" s="4">
        <f>MAX(ROUND(C24-C25-607.20,2),0)</f>
        <v/>
      </c>
    </row>
    <row r="27">
      <c r="B27" s="15" t="inlineStr">
        <is>
          <t>IRRF Bruto Férias</t>
        </is>
      </c>
      <c r="C27" s="4">
        <f>ROUND(IF(C26&lt;=2428.80,0,IF(C26&lt;=2826.65,C26*0.075-182.16,IF(C26&lt;=3751.05,C26*0.15-394.16,IF(C26&lt;=4664.68,C26*0.225-675.49,C26*0.275-908.73)))),2)</f>
        <v/>
      </c>
    </row>
    <row r="28">
      <c r="B28" s="15" t="inlineStr">
        <is>
          <t>Redutor Lei 15.270 (se aplicável)</t>
        </is>
      </c>
      <c r="C28" s="4">
        <f>ROUND(IF(C4&lt;=5000,C27,IF(C4&lt;=7350,MAX(978.62-0.133145*C4,0),0)),2)</f>
        <v/>
      </c>
    </row>
    <row r="29">
      <c r="B29" s="15" t="inlineStr">
        <is>
          <t>IRRF Final Férias</t>
        </is>
      </c>
      <c r="C29" s="4">
        <f>MAX(ROUND(C27-C28,2),0)</f>
        <v/>
      </c>
    </row>
    <row r="30">
      <c r="B30" s="15" t="inlineStr">
        <is>
          <t>Total Descontos Férias</t>
        </is>
      </c>
      <c r="C30" s="25">
        <f>ROUND(C25+C29,2)</f>
        <v/>
      </c>
    </row>
    <row r="32">
      <c r="B32" s="2" t="inlineStr">
        <is>
          <t>RESULTADO</t>
        </is>
      </c>
      <c r="C32" s="2" t="n"/>
    </row>
    <row r="33">
      <c r="B33" s="15" t="inlineStr">
        <is>
          <t>CHEQUE FÉRIAS (Líquido a Pagar)</t>
        </is>
      </c>
      <c r="C33" s="27">
        <f>ROUND(C21-C30,2)</f>
        <v/>
      </c>
    </row>
  </sheetData>
  <mergeCells count="7">
    <mergeCell ref="E12:F12"/>
    <mergeCell ref="E20:F20"/>
    <mergeCell ref="B3:C3"/>
    <mergeCell ref="B23:C23"/>
    <mergeCell ref="B32:C32"/>
    <mergeCell ref="B1:F1"/>
    <mergeCell ref="B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B1:F39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20" customWidth="1" min="3" max="3"/>
    <col width="3" customWidth="1" min="4" max="4"/>
    <col width="44" customWidth="1" min="5" max="5"/>
    <col width="20" customWidth="1" min="6" max="6"/>
  </cols>
  <sheetData>
    <row r="1">
      <c r="B1" s="1" t="inlineStr">
        <is>
          <t>CALCULADORA DE RESCISÃO — EMPREGADO DOMÉSTICO 2026</t>
        </is>
      </c>
      <c r="C1" s="1" t="n"/>
      <c r="D1" s="1" t="n"/>
      <c r="E1" s="1" t="n"/>
      <c r="F1" s="1" t="n"/>
    </row>
    <row r="3">
      <c r="B3" s="2" t="inlineStr">
        <is>
          <t>INPUTS DA RESCISÃO</t>
        </is>
      </c>
      <c r="C3" s="2" t="n"/>
    </row>
    <row r="4">
      <c r="B4" s="15" t="inlineStr">
        <is>
          <t>Salário Bruto (R$)</t>
        </is>
      </c>
      <c r="C4" s="16" t="n">
        <v>1621</v>
      </c>
    </row>
    <row r="5">
      <c r="B5" s="15" t="inlineStr">
        <is>
          <t>Dias Trabalhados no Último Mês</t>
        </is>
      </c>
      <c r="C5" s="20" t="n">
        <v>15</v>
      </c>
    </row>
    <row r="6">
      <c r="B6" s="36" t="inlineStr">
        <is>
          <t>Tipo de Rescisão (ver legenda abaixo)</t>
        </is>
      </c>
      <c r="C6" s="20" t="n">
        <v>1</v>
      </c>
    </row>
    <row r="7">
      <c r="B7" s="15" t="inlineStr">
        <is>
          <t>Anos Completos de Serviço</t>
        </is>
      </c>
      <c r="C7" s="20" t="n">
        <v>2</v>
      </c>
    </row>
    <row r="8">
      <c r="B8" s="15" t="inlineStr">
        <is>
          <t>Avos de Férias Proporcionais (1-12)</t>
        </is>
      </c>
      <c r="C8" s="20" t="n">
        <v>6</v>
      </c>
    </row>
    <row r="9">
      <c r="B9" s="15" t="inlineStr">
        <is>
          <t>Tem Férias Vencidas? (1=Sim)</t>
        </is>
      </c>
      <c r="C9" s="20" t="n">
        <v>0</v>
      </c>
    </row>
    <row r="10">
      <c r="B10" s="15" t="inlineStr">
        <is>
          <t>Avos de 13° no Ano Corrente (1-12)</t>
        </is>
      </c>
      <c r="C10" s="20" t="n">
        <v>6</v>
      </c>
    </row>
    <row r="11">
      <c r="B11" s="15" t="inlineStr">
        <is>
          <t>Saldo FGTS Acumulado (R$)</t>
        </is>
      </c>
      <c r="C11" s="16" t="n">
        <v>3000</v>
      </c>
    </row>
    <row r="13">
      <c r="B13" s="24" t="inlineStr">
        <is>
          <t>Legenda — Tipo de Rescisão</t>
        </is>
      </c>
      <c r="C13" s="24" t="n"/>
    </row>
    <row r="14">
      <c r="B14" s="37" t="inlineStr">
        <is>
          <t>1 = Sem Justa Causa (empregador demite)</t>
        </is>
      </c>
      <c r="C14" s="37" t="n"/>
    </row>
    <row r="15">
      <c r="B15" s="38" t="inlineStr">
        <is>
          <t>2 = Justa Causa (falta grave do empregado)</t>
        </is>
      </c>
      <c r="C15" s="38" t="n"/>
    </row>
    <row r="16">
      <c r="B16" s="37" t="inlineStr">
        <is>
          <t>3 = Pedido de Demissão (empregado sai)</t>
        </is>
      </c>
      <c r="C16" s="37" t="n"/>
    </row>
    <row r="17">
      <c r="B17" s="38" t="inlineStr">
        <is>
          <t>4 = Acordo Mútuo (Art. 484-A CLT)</t>
        </is>
      </c>
      <c r="C17" s="38" t="n"/>
    </row>
    <row r="18">
      <c r="B18" s="37" t="inlineStr">
        <is>
          <t>5 = Término Contrato Prazo Determinado</t>
        </is>
      </c>
      <c r="C18" s="37" t="n"/>
    </row>
    <row r="20">
      <c r="B20" s="2" t="inlineStr">
        <is>
          <t>VERBAS RESCISÓRIAS</t>
        </is>
      </c>
      <c r="C20" s="2" t="n"/>
      <c r="E20" s="2" t="inlineStr">
        <is>
          <t>FGTS NA RESCISÃO</t>
        </is>
      </c>
      <c r="F20" s="2" t="n"/>
    </row>
    <row r="21">
      <c r="B21" s="15" t="inlineStr">
        <is>
          <t>Saldo de Salário</t>
        </is>
      </c>
      <c r="C21" s="4">
        <f>ROUND(C4/30*C5,2)</f>
        <v/>
      </c>
      <c r="E21" s="15" t="inlineStr">
        <is>
          <t>Saque FGTS Regular</t>
        </is>
      </c>
      <c r="F21" s="4">
        <f>IF(OR(C6=1,C6=5),C11,IF(C6=4,ROUND(C11*0.8,2),0))</f>
        <v/>
      </c>
    </row>
    <row r="22">
      <c r="B22" s="15" t="inlineStr">
        <is>
          <t>Aviso Prévio Indenizado (dias)</t>
        </is>
      </c>
      <c r="C22" s="39">
        <f>IF(C6=1,MIN(30+3*C7,90),IF(C6=4,ROUND(MIN(30+3*C7,90)/2,0),0))</f>
        <v/>
      </c>
      <c r="E22" s="15" t="inlineStr">
        <is>
          <t>Multa 40% FGTS (via 3.2% acumulado)</t>
        </is>
      </c>
      <c r="F22" s="40">
        <f>IF(C6=1,"Pago via 3.2% mensal",IF(C6=4,"50% do 3.2% acumulado","N/A"))</f>
        <v/>
      </c>
    </row>
    <row r="23">
      <c r="B23" s="15" t="inlineStr">
        <is>
          <t>Aviso Prévio (R$)</t>
        </is>
      </c>
      <c r="C23" s="4">
        <f>ROUND(C4/30*C22,2)</f>
        <v/>
      </c>
      <c r="E23" s="15" t="inlineStr">
        <is>
          <t>Seguro-Desemprego</t>
        </is>
      </c>
      <c r="F23" s="40">
        <f>IF(C6=1,"3 × R$1.621,00 = R$4.863,00","Não aplicável")</f>
        <v/>
      </c>
    </row>
    <row r="24">
      <c r="B24" s="15" t="inlineStr">
        <is>
          <t>13° Proporcional</t>
        </is>
      </c>
      <c r="C24" s="4">
        <f>IF(C6=2,0,ROUND(C4/12*C10,2))</f>
        <v/>
      </c>
    </row>
    <row r="25">
      <c r="B25" s="15" t="inlineStr">
        <is>
          <t>Férias Proporcionais</t>
        </is>
      </c>
      <c r="C25" s="4">
        <f>IF(C6=2,0,ROUND(C4/12*C8,2))</f>
        <v/>
      </c>
      <c r="E25" s="15" t="inlineStr">
        <is>
          <t>Prazo para Pagamento</t>
        </is>
      </c>
      <c r="F25" s="40">
        <f>"10 dias corridos"</f>
        <v/>
      </c>
    </row>
    <row r="26">
      <c r="B26" s="15" t="inlineStr">
        <is>
          <t>1/3 sobre Férias Proporcionais</t>
        </is>
      </c>
      <c r="C26" s="4">
        <f>ROUND(C25/3,2)</f>
        <v/>
      </c>
      <c r="E26" s="15" t="inlineStr">
        <is>
          <t>Multa por Atraso (se &gt;10 dias)</t>
        </is>
      </c>
      <c r="F26" s="4">
        <f>C4</f>
        <v/>
      </c>
    </row>
    <row r="27">
      <c r="B27" s="15" t="inlineStr">
        <is>
          <t>Férias Vencidas (se houver)</t>
        </is>
      </c>
      <c r="C27" s="4">
        <f>IF(C9=1,C4,0)</f>
        <v/>
      </c>
    </row>
    <row r="28">
      <c r="B28" s="15" t="inlineStr">
        <is>
          <t>1/3 sobre Férias Vencidas</t>
        </is>
      </c>
      <c r="C28" s="4">
        <f>ROUND(C27/3,2)</f>
        <v/>
      </c>
    </row>
    <row r="29">
      <c r="B29" s="15" t="inlineStr">
        <is>
          <t>FGTS Compensatório (3.2%) — Destino</t>
        </is>
      </c>
      <c r="C29" s="40">
        <f>IF(C6=1,"100% ao empregado",IF(C6=4,"50% ao empregado",IF(C6=2,"Empregador saca","Empregador saca")))</f>
        <v/>
      </c>
    </row>
    <row r="31">
      <c r="B31" s="15" t="inlineStr">
        <is>
          <t>TOTAL VERBAS RESCISÓRIAS BRUTAS</t>
        </is>
      </c>
      <c r="C31" s="26">
        <f>ROUND(C21+C23+C24+C25+C26+C27+C28,2)</f>
        <v/>
      </c>
    </row>
    <row r="33">
      <c r="B33" s="2" t="inlineStr">
        <is>
          <t>DESCONTOS NA RESCISÃO</t>
        </is>
      </c>
      <c r="C33" s="2" t="n"/>
    </row>
    <row r="34">
      <c r="B34" s="15" t="inlineStr">
        <is>
          <t>INSS sobre Saldo + Aviso (progressivo)</t>
        </is>
      </c>
      <c r="C34" s="4">
        <f>ROUND(IF((C21+C23)&lt;=1621,(C21+C23)*0.075,IF((C21+C23)&lt;=2902.84,(C21+C23)*0.09-24.32,IF((C21+C23)&lt;=4354.27,(C21+C23)*0.12-111.40,IF((C21+C23)&lt;=8475.55,(C21+C23)*0.14-198.49,8475.55*0.14-198.49)))),2)</f>
        <v/>
      </c>
    </row>
    <row r="35">
      <c r="B35" s="15" t="inlineStr">
        <is>
          <t>IRRF (se aplicável)</t>
        </is>
      </c>
      <c r="C35" s="4">
        <f>0</f>
        <v/>
      </c>
    </row>
    <row r="36">
      <c r="B36" s="15" t="inlineStr">
        <is>
          <t>Total Descontos Rescisão</t>
        </is>
      </c>
      <c r="C36" s="25">
        <f>ROUND(C34+C35,2)</f>
        <v/>
      </c>
    </row>
    <row r="38">
      <c r="B38" s="2" t="inlineStr">
        <is>
          <t>RESULTADO RESCISÃO</t>
        </is>
      </c>
      <c r="C38" s="2" t="n"/>
    </row>
    <row r="39">
      <c r="B39" s="15" t="inlineStr">
        <is>
          <t>CHEQUE RESCISÃO (Líquido)</t>
        </is>
      </c>
      <c r="C39" s="27">
        <f>ROUND(C31-C36,2)</f>
        <v/>
      </c>
    </row>
  </sheetData>
  <mergeCells count="12">
    <mergeCell ref="B13:C13"/>
    <mergeCell ref="B38:C38"/>
    <mergeCell ref="B16:C16"/>
    <mergeCell ref="E20:F20"/>
    <mergeCell ref="B15:C15"/>
    <mergeCell ref="B33:C33"/>
    <mergeCell ref="B3:C3"/>
    <mergeCell ref="B20:C20"/>
    <mergeCell ref="B14:C14"/>
    <mergeCell ref="B1:F1"/>
    <mergeCell ref="B17:C17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2026-02-18T22:38:58Z</dcterms:created>
  <dcterms:modified xmlns:dcterms="http://purl.org/dc/terms/" xmlns:xsi="http://www.w3.org/2001/XMLSchema-instance" xsi:type="dcterms:W3CDTF">2026-02-18T22:38:58Z</dcterms:modified>
</cp:coreProperties>
</file>